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anhMinhNguyen\Downloads\"/>
    </mc:Choice>
  </mc:AlternateContent>
  <xr:revisionPtr revIDLastSave="0" documentId="13_ncr:1_{44A45955-C12C-45D9-93E3-DFB99D802DF8}" xr6:coauthVersionLast="47" xr6:coauthVersionMax="47" xr10:uidLastSave="{00000000-0000-0000-0000-000000000000}"/>
  <bookViews>
    <workbookView xWindow="-28920" yWindow="5280" windowWidth="29040" windowHeight="15840" xr2:uid="{73C4DD2B-19EA-44E0-8710-817228BC93BF}"/>
  </bookViews>
  <sheets>
    <sheet name="Sheet1" sheetId="1" r:id="rId1"/>
  </sheets>
  <definedNames>
    <definedName name="_xlpm.adr" hidden="1" xlm="1">#NAME?</definedName>
    <definedName name="_xlpm.num" hidden="1" xlm="1">#NAME?</definedName>
    <definedName name="_xlpm.val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6" i="1" l="1"/>
  <c r="AO2" i="1"/>
  <c r="AL5" i="1"/>
  <c r="AL4" i="1"/>
  <c r="AL3" i="1"/>
  <c r="AN3" i="1" s="1"/>
  <c r="AL2" i="1"/>
  <c r="AH4" i="1"/>
  <c r="AH5" i="1"/>
  <c r="AH6" i="1"/>
  <c r="AH7" i="1"/>
  <c r="AH8" i="1"/>
  <c r="AH9" i="1"/>
  <c r="AH10" i="1"/>
  <c r="AH11" i="1"/>
  <c r="AH12" i="1"/>
  <c r="AM35" i="1"/>
  <c r="AM36" i="1"/>
  <c r="AM37" i="1"/>
  <c r="AM38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H3" i="1"/>
  <c r="AH2" i="1"/>
  <c r="AJ26" i="1"/>
  <c r="AJ3" i="1" s="1" a="1"/>
  <c r="AJ3" i="1" s="1"/>
  <c r="AG2" i="1"/>
  <c r="AG26" i="1" s="1"/>
  <c r="AG3" i="1" s="1" a="1"/>
  <c r="AG3" i="1" s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2" i="1"/>
  <c r="AM2" i="1"/>
  <c r="AL7" i="1"/>
  <c r="AN7" i="1" s="1"/>
  <c r="AO7" i="1" s="1"/>
  <c r="AL6" i="1"/>
  <c r="AN6" i="1" s="1"/>
  <c r="AO6" i="1" s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" i="1"/>
  <c r="AO4" i="1" l="1"/>
  <c r="AO5" i="1"/>
  <c r="AN5" i="1"/>
  <c r="AN4" i="1"/>
  <c r="AO3" i="1"/>
  <c r="AM13" i="1"/>
  <c r="AM12" i="1"/>
  <c r="AM3" i="1"/>
  <c r="AM11" i="1"/>
  <c r="AM9" i="1"/>
  <c r="AM8" i="1"/>
  <c r="AM7" i="1"/>
  <c r="AM5" i="1"/>
  <c r="AM10" i="1"/>
  <c r="AM4" i="1"/>
  <c r="K2" i="1"/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O14" i="1"/>
  <c r="O15" i="1"/>
  <c r="O16" i="1"/>
  <c r="O17" i="1"/>
  <c r="O18" i="1"/>
  <c r="O19" i="1"/>
  <c r="O20" i="1"/>
  <c r="O21" i="1"/>
  <c r="O22" i="1"/>
  <c r="O23" i="1"/>
  <c r="O24" i="1"/>
  <c r="O25" i="1"/>
  <c r="O13" i="1"/>
  <c r="O3" i="1"/>
  <c r="O4" i="1"/>
  <c r="O5" i="1"/>
  <c r="O6" i="1"/>
  <c r="O7" i="1"/>
  <c r="O8" i="1"/>
  <c r="O9" i="1"/>
  <c r="O10" i="1"/>
  <c r="O11" i="1"/>
  <c r="O12" i="1"/>
  <c r="O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<sst xmlns="http://schemas.openxmlformats.org/spreadsheetml/2006/main" count="1105" uniqueCount="964">
  <si>
    <t>TankModel</t>
  </si>
  <si>
    <t>Config</t>
  </si>
  <si>
    <t>DWG VIEW GA</t>
  </si>
  <si>
    <t>DWG VIEW F</t>
  </si>
  <si>
    <t>DWG VIEW DETAIL RING BEAM</t>
  </si>
  <si>
    <t>DWG VIEW DETAIL NUT COVER</t>
  </si>
  <si>
    <t>VIEW LABEL</t>
  </si>
  <si>
    <t>WIDTH</t>
  </si>
  <si>
    <t>HEIGHT</t>
  </si>
  <si>
    <t>DIAMETER (MM)</t>
  </si>
  <si>
    <t>MAX HEIGHT</t>
  </si>
  <si>
    <t>TopAngleModel</t>
  </si>
  <si>
    <t>TopAngleDrwNo</t>
  </si>
  <si>
    <t>$DESCRIPTION</t>
  </si>
  <si>
    <t>$PRP@DESCRIPTION</t>
  </si>
  <si>
    <t>$PRP@REGION</t>
  </si>
  <si>
    <t>$PRP@WHERE USE</t>
  </si>
  <si>
    <t>$drwNUMBER</t>
  </si>
  <si>
    <t>$PARTNUMBER</t>
  </si>
  <si>
    <t>$PRP@STAMPING TEXT</t>
  </si>
  <si>
    <t>rngConfigRange</t>
  </si>
  <si>
    <t>except</t>
  </si>
  <si>
    <t>rngConfigPartnumberRange</t>
  </si>
  <si>
    <t>sOriginPartNumberRange</t>
  </si>
  <si>
    <t>rngCoppiedDrwNumberPrefixRange</t>
  </si>
  <si>
    <t>rngOriginDrwNumberRange</t>
  </si>
  <si>
    <t>rngCoppiedSuffixRange</t>
  </si>
  <si>
    <t>vCreatedDrws</t>
  </si>
  <si>
    <t>vToChangeConfigs</t>
  </si>
  <si>
    <t>vToReplaceNames</t>
  </si>
  <si>
    <t>vOldNames</t>
  </si>
  <si>
    <t/>
  </si>
  <si>
    <t>15</t>
  </si>
  <si>
    <t>B</t>
  </si>
  <si>
    <t>CM</t>
  </si>
  <si>
    <t>25</t>
  </si>
  <si>
    <t>40</t>
  </si>
  <si>
    <t>60</t>
  </si>
  <si>
    <t>80</t>
  </si>
  <si>
    <t>100</t>
  </si>
  <si>
    <t>130</t>
  </si>
  <si>
    <t>160</t>
  </si>
  <si>
    <t>200</t>
  </si>
  <si>
    <t>230</t>
  </si>
  <si>
    <t>275</t>
  </si>
  <si>
    <t>320</t>
  </si>
  <si>
    <t>360</t>
  </si>
  <si>
    <t>420</t>
  </si>
  <si>
    <t>P</t>
  </si>
  <si>
    <t>470</t>
  </si>
  <si>
    <t>Q</t>
  </si>
  <si>
    <t>530</t>
  </si>
  <si>
    <t>R</t>
  </si>
  <si>
    <t>590</t>
  </si>
  <si>
    <t>S</t>
  </si>
  <si>
    <t>650</t>
  </si>
  <si>
    <t>EX</t>
  </si>
  <si>
    <t>T</t>
  </si>
  <si>
    <t>720</t>
  </si>
  <si>
    <t>U</t>
  </si>
  <si>
    <t>790</t>
  </si>
  <si>
    <t>V</t>
  </si>
  <si>
    <t>860</t>
  </si>
  <si>
    <t>W</t>
  </si>
  <si>
    <t>940</t>
  </si>
  <si>
    <t>X</t>
  </si>
  <si>
    <t>1010</t>
  </si>
  <si>
    <t>Y</t>
  </si>
  <si>
    <t>1180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</si>
  <si>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</si>
  <si>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</si>
  <si>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</si>
  <si>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</si>
  <si>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</si>
  <si>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</si>
  <si>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</si>
  <si>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</si>
  <si>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</si>
  <si>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</si>
  <si>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</si>
  <si>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</si>
  <si>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</si>
  <si>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</si>
  <si>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</si>
  <si>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</si>
  <si>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</si>
  <si>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Width@INFILL SECTION SKETCH 1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</si>
  <si>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</si>
  <si>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</si>
  <si>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</si>
  <si>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</si>
  <si>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</si>
  <si>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</si>
  <si>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</si>
  <si>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</si>
  <si>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</si>
  <si>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</si>
  <si>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</si>
  <si>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</si>
  <si>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</si>
  <si>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</si>
  <si>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</si>
  <si>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</si>
  <si>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</si>
  <si>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</si>
  <si>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</si>
  <si>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</si>
  <si>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</si>
  <si>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</si>
  <si>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</si>
  <si>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</si>
  <si>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</si>
  <si>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</si>
  <si>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</si>
  <si>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</si>
  <si>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</si>
  <si>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</si>
  <si>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</si>
  <si>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</si>
  <si>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</si>
  <si>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</si>
  <si>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</si>
  <si>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</si>
  <si>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</si>
  <si>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</si>
  <si>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</si>
  <si>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</si>
  <si>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</si>
  <si>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</si>
  <si>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</si>
  <si>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</si>
  <si>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</si>
  <si>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</si>
  <si>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</si>
  <si>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</si>
  <si>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</si>
  <si>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</si>
  <si>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</si>
  <si>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</si>
  <si>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</si>
  <si>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</si>
  <si>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</si>
  <si>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</si>
  <si>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</si>
  <si>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</si>
  <si>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</si>
  <si>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</si>
  <si>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</si>
  <si>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</si>
  <si>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</si>
  <si>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</si>
  <si>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</si>
  <si>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</si>
  <si>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</si>
  <si>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</si>
  <si>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</si>
  <si>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</si>
  <si>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</si>
  <si>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</si>
  <si>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</si>
  <si>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</si>
  <si>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</si>
  <si>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</si>
  <si>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</si>
  <si>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</si>
  <si>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</si>
  <si>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</si>
  <si>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</si>
  <si>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</si>
  <si>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</si>
  <si>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</si>
  <si>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</si>
  <si>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</si>
  <si>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</si>
  <si>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</si>
  <si>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</si>
  <si>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</si>
  <si>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</si>
  <si>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</si>
  <si>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</si>
  <si>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</si>
  <si>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</si>
  <si>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</si>
  <si>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</si>
  <si>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</si>
  <si>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</si>
  <si>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</si>
  <si>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</si>
  <si>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</si>
  <si>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</si>
  <si>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</si>
  <si>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</si>
  <si>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</si>
  <si>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</si>
  <si>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</si>
  <si>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</si>
  <si>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</si>
  <si>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</si>
  <si>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</si>
  <si>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</si>
  <si>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</si>
  <si>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</si>
  <si>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</si>
  <si>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</si>
  <si>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</si>
  <si>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</si>
  <si>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</si>
  <si>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</si>
  <si>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</si>
  <si>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</si>
  <si>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</si>
  <si>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</si>
  <si>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</si>
  <si>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</si>
  <si>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</si>
  <si>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</si>
  <si>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</si>
  <si>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</si>
  <si>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</si>
  <si>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</si>
  <si>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</si>
  <si>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</si>
  <si>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</si>
  <si>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</si>
  <si>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</si>
  <si>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</si>
  <si>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</si>
  <si>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</si>
  <si>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</si>
  <si>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</si>
  <si>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</si>
  <si>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</si>
  <si>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</si>
  <si>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</si>
  <si>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</si>
  <si>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</si>
  <si>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</si>
  <si>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</si>
  <si>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</si>
  <si>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</si>
  <si>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</si>
  <si>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</si>
  <si>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</si>
  <si>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</si>
  <si>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</si>
  <si>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</si>
  <si>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</si>
  <si>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</si>
  <si>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</si>
  <si>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</si>
  <si>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</si>
  <si>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</si>
  <si>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</si>
  <si>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</si>
  <si>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</si>
  <si>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</si>
  <si>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</si>
  <si>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</si>
  <si>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</si>
  <si>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</si>
  <si>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</si>
  <si>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</si>
  <si>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</si>
  <si>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</si>
  <si>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</si>
  <si>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</si>
  <si>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</si>
  <si>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</si>
  <si>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</si>
  <si>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</si>
  <si>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</si>
  <si>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</si>
  <si>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</si>
  <si>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</si>
  <si>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</si>
  <si>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</si>
  <si>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</si>
  <si>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</si>
  <si>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</si>
  <si>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</si>
  <si>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</si>
  <si>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</si>
  <si>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</si>
  <si>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</si>
  <si>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</si>
  <si>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</si>
  <si>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</si>
  <si>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</si>
  <si>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</si>
  <si>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</si>
  <si>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</si>
  <si>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</si>
  <si>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</si>
  <si>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</si>
  <si>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</si>
  <si>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</si>
  <si>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</si>
  <si>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</si>
  <si>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</si>
  <si>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IW</t>
  </si>
  <si>
    <t>IX</t>
  </si>
  <si>
    <t>IY</t>
  </si>
  <si>
    <t>IZ</t>
  </si>
  <si>
    <t>JA</t>
  </si>
  <si>
    <t>JB</t>
  </si>
  <si>
    <t>JC</t>
  </si>
  <si>
    <t>JD</t>
  </si>
  <si>
    <t>JE</t>
  </si>
  <si>
    <t>JF</t>
  </si>
  <si>
    <t>JG</t>
  </si>
  <si>
    <t>JH</t>
  </si>
  <si>
    <t>JI</t>
  </si>
  <si>
    <t>JJ</t>
  </si>
  <si>
    <t>JK</t>
  </si>
  <si>
    <t>JL</t>
  </si>
  <si>
    <t>JM</t>
  </si>
  <si>
    <t>JN</t>
  </si>
  <si>
    <t>JO</t>
  </si>
  <si>
    <t>JP</t>
  </si>
  <si>
    <t>JQ</t>
  </si>
  <si>
    <t>JR</t>
  </si>
  <si>
    <t>JS</t>
  </si>
  <si>
    <t>JT</t>
  </si>
  <si>
    <t>JU</t>
  </si>
  <si>
    <t>JV</t>
  </si>
  <si>
    <t>JW</t>
  </si>
  <si>
    <t>JX</t>
  </si>
  <si>
    <t>JY</t>
  </si>
  <si>
    <t>JZ</t>
  </si>
  <si>
    <t>KA</t>
  </si>
  <si>
    <t>KB</t>
  </si>
  <si>
    <t>KC</t>
  </si>
  <si>
    <t>KD</t>
  </si>
  <si>
    <t>KE</t>
  </si>
  <si>
    <t>KF</t>
  </si>
  <si>
    <t>KG</t>
  </si>
  <si>
    <t>KH</t>
  </si>
  <si>
    <t>KI</t>
  </si>
  <si>
    <t>KJ</t>
  </si>
  <si>
    <t>KK</t>
  </si>
  <si>
    <t>KL</t>
  </si>
  <si>
    <t>KM</t>
  </si>
  <si>
    <t>KN</t>
  </si>
  <si>
    <t>KO</t>
  </si>
  <si>
    <t>KP</t>
  </si>
  <si>
    <t>KQ</t>
  </si>
  <si>
    <t>KR</t>
  </si>
  <si>
    <t>KS</t>
  </si>
  <si>
    <t>KT</t>
  </si>
  <si>
    <t>KU</t>
  </si>
  <si>
    <t>KV</t>
  </si>
  <si>
    <t>KW</t>
  </si>
  <si>
    <t>KX</t>
  </si>
  <si>
    <t>KY</t>
  </si>
  <si>
    <t>KZ</t>
  </si>
  <si>
    <t>LA</t>
  </si>
  <si>
    <t>LB</t>
  </si>
  <si>
    <t>LC</t>
  </si>
  <si>
    <t>LD</t>
  </si>
  <si>
    <t>LE</t>
  </si>
  <si>
    <t>LF</t>
  </si>
  <si>
    <t>LG</t>
  </si>
  <si>
    <t>LH</t>
  </si>
  <si>
    <t>LI</t>
  </si>
  <si>
    <t>LJ</t>
  </si>
  <si>
    <t>LK</t>
  </si>
  <si>
    <t>LL</t>
  </si>
  <si>
    <t>LM</t>
  </si>
  <si>
    <t>LN</t>
  </si>
  <si>
    <t>LO</t>
  </si>
  <si>
    <t>LP</t>
  </si>
  <si>
    <t>LQ</t>
  </si>
  <si>
    <t>LR</t>
  </si>
  <si>
    <t>LS</t>
  </si>
  <si>
    <t>LT</t>
  </si>
  <si>
    <t>LU</t>
  </si>
  <si>
    <t>LV</t>
  </si>
  <si>
    <t>LW</t>
  </si>
  <si>
    <t>LX</t>
  </si>
  <si>
    <t>LY</t>
  </si>
  <si>
    <t>LZ</t>
  </si>
  <si>
    <t>MA</t>
  </si>
  <si>
    <t>MB</t>
  </si>
  <si>
    <t>MC</t>
  </si>
  <si>
    <t>MD</t>
  </si>
  <si>
    <t>ME</t>
  </si>
  <si>
    <t>MF</t>
  </si>
  <si>
    <t>MG</t>
  </si>
  <si>
    <t>MH</t>
  </si>
  <si>
    <t>MI</t>
  </si>
  <si>
    <t>MJ</t>
  </si>
  <si>
    <t>MK</t>
  </si>
  <si>
    <t>ML</t>
  </si>
  <si>
    <t>MM</t>
  </si>
  <si>
    <t>MN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</si>
  <si>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</si>
  <si>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</si>
  <si>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</si>
  <si>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</si>
  <si>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</si>
  <si>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</si>
  <si>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</si>
  <si>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</si>
  <si>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</si>
  <si>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</si>
  <si>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</si>
  <si>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</si>
  <si>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</si>
  <si>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NB</t>
  </si>
  <si>
    <t>NC</t>
  </si>
  <si>
    <t>ND</t>
  </si>
  <si>
    <t>NE</t>
  </si>
  <si>
    <t>NF</t>
  </si>
  <si>
    <t>NG</t>
  </si>
  <si>
    <t>NH</t>
  </si>
  <si>
    <t>NI</t>
  </si>
  <si>
    <t>NJ</t>
  </si>
  <si>
    <t>NK</t>
  </si>
  <si>
    <t>NL</t>
  </si>
  <si>
    <t>NM</t>
  </si>
  <si>
    <t>NN</t>
  </si>
  <si>
    <t>NO</t>
  </si>
  <si>
    <t>NP</t>
  </si>
  <si>
    <t>NQ</t>
  </si>
  <si>
    <t>NR</t>
  </si>
  <si>
    <t>NS</t>
  </si>
  <si>
    <t>NT</t>
  </si>
  <si>
    <t>NU</t>
  </si>
  <si>
    <t>NV</t>
  </si>
  <si>
    <t>NW</t>
  </si>
  <si>
    <t>NX</t>
  </si>
  <si>
    <t>NY</t>
  </si>
  <si>
    <t>NZ</t>
  </si>
  <si>
    <t>OA</t>
  </si>
  <si>
    <t>OB</t>
  </si>
  <si>
    <t>OC</t>
  </si>
  <si>
    <t>OD</t>
  </si>
  <si>
    <t>OE</t>
  </si>
  <si>
    <t>OF</t>
  </si>
  <si>
    <t>OG</t>
  </si>
  <si>
    <t>OH</t>
  </si>
  <si>
    <t>OI</t>
  </si>
  <si>
    <t>OJ</t>
  </si>
  <si>
    <t>OK</t>
  </si>
  <si>
    <t>OL</t>
  </si>
  <si>
    <t>OM</t>
  </si>
  <si>
    <t>ON</t>
  </si>
  <si>
    <t>OO</t>
  </si>
  <si>
    <t>OP</t>
  </si>
  <si>
    <t>OQ</t>
  </si>
  <si>
    <t>OR</t>
  </si>
  <si>
    <t>OS</t>
  </si>
  <si>
    <t>OT</t>
  </si>
  <si>
    <t>OU</t>
  </si>
  <si>
    <t>OV</t>
  </si>
  <si>
    <t>OW</t>
  </si>
  <si>
    <t>OX</t>
  </si>
  <si>
    <t>OY</t>
  </si>
  <si>
    <t>OZ</t>
  </si>
  <si>
    <t>PA</t>
  </si>
  <si>
    <t>PB</t>
  </si>
  <si>
    <t>PC</t>
  </si>
  <si>
    <t>PD</t>
  </si>
  <si>
    <t>PE</t>
  </si>
  <si>
    <t>PF</t>
  </si>
  <si>
    <t>PG</t>
  </si>
  <si>
    <t>PH</t>
  </si>
  <si>
    <t>PI</t>
  </si>
  <si>
    <t>PJ</t>
  </si>
  <si>
    <t>PK</t>
  </si>
  <si>
    <t>PL</t>
  </si>
  <si>
    <t>PM</t>
  </si>
  <si>
    <t>PN</t>
  </si>
  <si>
    <t>PO</t>
  </si>
  <si>
    <t>PP</t>
  </si>
  <si>
    <t>PQ</t>
  </si>
  <si>
    <t>PR</t>
  </si>
  <si>
    <t>PS</t>
  </si>
  <si>
    <t>PT</t>
  </si>
  <si>
    <t>PU</t>
  </si>
  <si>
    <t>PV</t>
  </si>
  <si>
    <t>PW</t>
  </si>
  <si>
    <t>PX</t>
  </si>
  <si>
    <t>PY</t>
  </si>
  <si>
    <t>PZ</t>
  </si>
  <si>
    <t>QA</t>
  </si>
  <si>
    <t>QB</t>
  </si>
  <si>
    <t>QC</t>
  </si>
  <si>
    <t>QD</t>
  </si>
  <si>
    <t>QE</t>
  </si>
  <si>
    <t>QF</t>
  </si>
  <si>
    <t>QG</t>
  </si>
  <si>
    <t>QH</t>
  </si>
  <si>
    <t>QI</t>
  </si>
  <si>
    <t>QJ</t>
  </si>
  <si>
    <t>QK</t>
  </si>
  <si>
    <t>QL</t>
  </si>
  <si>
    <t>QM</t>
  </si>
  <si>
    <t>QN</t>
  </si>
  <si>
    <t>QO</t>
  </si>
  <si>
    <t>QP</t>
  </si>
  <si>
    <t>QQ</t>
  </si>
  <si>
    <t>QR</t>
  </si>
  <si>
    <t>QS</t>
  </si>
  <si>
    <t>QT</t>
  </si>
  <si>
    <t>QU</t>
  </si>
  <si>
    <t>QV</t>
  </si>
  <si>
    <t>QW</t>
  </si>
  <si>
    <t>QX</t>
  </si>
  <si>
    <t>QY</t>
  </si>
  <si>
    <t>QZ</t>
  </si>
  <si>
    <t>RA</t>
  </si>
  <si>
    <t>RB</t>
  </si>
  <si>
    <t>RC</t>
  </si>
  <si>
    <t>RD</t>
  </si>
  <si>
    <t>RE</t>
  </si>
  <si>
    <t>RF</t>
  </si>
  <si>
    <t>RG</t>
  </si>
  <si>
    <t>RH</t>
  </si>
  <si>
    <t>RI</t>
  </si>
  <si>
    <t>RJ</t>
  </si>
  <si>
    <t>RK</t>
  </si>
  <si>
    <t>RL</t>
  </si>
  <si>
    <t>RM</t>
  </si>
  <si>
    <t>RN</t>
  </si>
  <si>
    <t>RO</t>
  </si>
  <si>
    <t>RP</t>
  </si>
  <si>
    <t>RQ</t>
  </si>
  <si>
    <t>RR</t>
  </si>
  <si>
    <t>RS</t>
  </si>
  <si>
    <t>RT</t>
  </si>
  <si>
    <t>RU</t>
  </si>
  <si>
    <t>RV</t>
  </si>
  <si>
    <t>RW</t>
  </si>
  <si>
    <t>RX</t>
  </si>
  <si>
    <t>RY</t>
  </si>
  <si>
    <t>RZ</t>
  </si>
  <si>
    <t>SA</t>
  </si>
  <si>
    <t>SB</t>
  </si>
  <si>
    <t>SC</t>
  </si>
  <si>
    <t>SD</t>
  </si>
  <si>
    <t>SE</t>
  </si>
  <si>
    <t>SF</t>
  </si>
  <si>
    <t>SG</t>
  </si>
  <si>
    <t>SH</t>
  </si>
  <si>
    <t>SI</t>
  </si>
  <si>
    <t>SJ</t>
  </si>
  <si>
    <t>SK</t>
  </si>
  <si>
    <t>SL</t>
  </si>
  <si>
    <t>SM</t>
  </si>
  <si>
    <t>SN</t>
  </si>
  <si>
    <t>SO</t>
  </si>
  <si>
    <t>SP</t>
  </si>
  <si>
    <t>SQ</t>
  </si>
  <si>
    <t>SR</t>
  </si>
  <si>
    <t>SS</t>
  </si>
  <si>
    <t>ST</t>
  </si>
  <si>
    <t>SU</t>
  </si>
  <si>
    <t>SV</t>
  </si>
  <si>
    <t>SW</t>
  </si>
  <si>
    <t>SX</t>
  </si>
  <si>
    <t>SY</t>
  </si>
  <si>
    <t>SZ</t>
  </si>
  <si>
    <t>TA</t>
  </si>
  <si>
    <t>TB</t>
  </si>
  <si>
    <t>TC</t>
  </si>
  <si>
    <t>TD</t>
  </si>
  <si>
    <t>TE</t>
  </si>
  <si>
    <t>TF</t>
  </si>
  <si>
    <t>TG</t>
  </si>
  <si>
    <t>TH</t>
  </si>
  <si>
    <t>TI</t>
  </si>
  <si>
    <t>TJ</t>
  </si>
  <si>
    <t>TK</t>
  </si>
  <si>
    <t>TL</t>
  </si>
  <si>
    <t>TM</t>
  </si>
  <si>
    <t>TN</t>
  </si>
  <si>
    <t>TO</t>
  </si>
  <si>
    <t>TP</t>
  </si>
  <si>
    <t>TQ</t>
  </si>
  <si>
    <t>TR</t>
  </si>
  <si>
    <t>TS</t>
  </si>
  <si>
    <t>TT</t>
  </si>
  <si>
    <t>TU</t>
  </si>
  <si>
    <t>TV</t>
  </si>
  <si>
    <t>TW</t>
  </si>
  <si>
    <t>TX</t>
  </si>
  <si>
    <t>TY</t>
  </si>
  <si>
    <t>TZ</t>
  </si>
  <si>
    <t>UA</t>
  </si>
  <si>
    <t>UB</t>
  </si>
  <si>
    <t>UC</t>
  </si>
  <si>
    <t>UD</t>
  </si>
  <si>
    <t>UE</t>
  </si>
  <si>
    <t>UF</t>
  </si>
  <si>
    <t>UG</t>
  </si>
  <si>
    <t>UH</t>
  </si>
  <si>
    <t>UI</t>
  </si>
  <si>
    <t>UJ</t>
  </si>
  <si>
    <t>UK</t>
  </si>
  <si>
    <t>UL</t>
  </si>
  <si>
    <t>UM</t>
  </si>
  <si>
    <t>UN</t>
  </si>
  <si>
    <t>UO</t>
  </si>
  <si>
    <t>UP</t>
  </si>
  <si>
    <t>UQ</t>
  </si>
  <si>
    <t>UR</t>
  </si>
  <si>
    <t>US</t>
  </si>
  <si>
    <t>UT</t>
  </si>
  <si>
    <t>UU</t>
  </si>
  <si>
    <t>UV</t>
  </si>
  <si>
    <t>UW</t>
  </si>
  <si>
    <t>UX</t>
  </si>
  <si>
    <t>UY</t>
  </si>
  <si>
    <t>UZ</t>
  </si>
  <si>
    <t>VA</t>
  </si>
  <si>
    <t>VB</t>
  </si>
  <si>
    <t>VC</t>
  </si>
  <si>
    <t>VD</t>
  </si>
  <si>
    <t>VE</t>
  </si>
  <si>
    <t>VF</t>
  </si>
  <si>
    <t>VG</t>
  </si>
  <si>
    <t>VH</t>
  </si>
  <si>
    <t>VI</t>
  </si>
  <si>
    <t>VJ</t>
  </si>
  <si>
    <t>VK</t>
  </si>
  <si>
    <t>VL</t>
  </si>
  <si>
    <t>VM</t>
  </si>
  <si>
    <t>VN</t>
  </si>
  <si>
    <t>VO</t>
  </si>
  <si>
    <t>VP</t>
  </si>
  <si>
    <t>VQ</t>
  </si>
  <si>
    <t>VR</t>
  </si>
  <si>
    <t>VS</t>
  </si>
  <si>
    <t>VT</t>
  </si>
  <si>
    <t>VU</t>
  </si>
  <si>
    <t>VV</t>
  </si>
  <si>
    <t>VW</t>
  </si>
  <si>
    <t>VX</t>
  </si>
  <si>
    <t>VY</t>
  </si>
  <si>
    <t>VZ</t>
  </si>
  <si>
    <t>WA</t>
  </si>
  <si>
    <t>WB</t>
  </si>
  <si>
    <t>WC</t>
  </si>
  <si>
    <t>WD</t>
  </si>
  <si>
    <t>WE</t>
  </si>
  <si>
    <t>WF</t>
  </si>
  <si>
    <t>WG</t>
  </si>
  <si>
    <t>WH</t>
  </si>
  <si>
    <t>WI</t>
  </si>
  <si>
    <t>WJ</t>
  </si>
  <si>
    <t>WK</t>
  </si>
  <si>
    <t>WL</t>
  </si>
  <si>
    <t>WM</t>
  </si>
  <si>
    <t>WN</t>
  </si>
  <si>
    <t>WO</t>
  </si>
  <si>
    <t>WP</t>
  </si>
  <si>
    <t>WQ</t>
  </si>
  <si>
    <t>WR</t>
  </si>
  <si>
    <t>WS</t>
  </si>
  <si>
    <t>WT</t>
  </si>
  <si>
    <t>WU</t>
  </si>
  <si>
    <t>WV</t>
  </si>
  <si>
    <t>WW</t>
  </si>
  <si>
    <t>WX</t>
  </si>
  <si>
    <t>WY</t>
  </si>
  <si>
    <t>WZ</t>
  </si>
  <si>
    <t>XA</t>
  </si>
  <si>
    <t>XB</t>
  </si>
  <si>
    <t>XC</t>
  </si>
  <si>
    <t>XD</t>
  </si>
  <si>
    <t>XE</t>
  </si>
  <si>
    <t>XF</t>
  </si>
  <si>
    <t>XG</t>
  </si>
  <si>
    <t>XH</t>
  </si>
  <si>
    <t>XI</t>
  </si>
  <si>
    <t>XJ</t>
  </si>
  <si>
    <t>XK</t>
  </si>
  <si>
    <t>XL</t>
  </si>
  <si>
    <t>XM</t>
  </si>
  <si>
    <t>XN</t>
  </si>
  <si>
    <t>XO</t>
  </si>
  <si>
    <t>XP</t>
  </si>
  <si>
    <t>XQ</t>
  </si>
  <si>
    <t>XR</t>
  </si>
  <si>
    <t>XS</t>
  </si>
  <si>
    <t>XT</t>
  </si>
  <si>
    <t>XU</t>
  </si>
  <si>
    <t>XV</t>
  </si>
  <si>
    <t>XW</t>
  </si>
  <si>
    <t>XX</t>
  </si>
  <si>
    <t>XY</t>
  </si>
  <si>
    <t>XZ</t>
  </si>
  <si>
    <t>YA</t>
  </si>
  <si>
    <t>YB</t>
  </si>
  <si>
    <t>YC</t>
  </si>
  <si>
    <t>YD</t>
  </si>
  <si>
    <t>YE</t>
  </si>
  <si>
    <t>YF</t>
  </si>
  <si>
    <t>YG</t>
  </si>
  <si>
    <t>YH</t>
  </si>
  <si>
    <t>YI</t>
  </si>
  <si>
    <t>YJ</t>
  </si>
  <si>
    <t>YK</t>
  </si>
  <si>
    <t>YL</t>
  </si>
  <si>
    <t>YM</t>
  </si>
  <si>
    <t>YN</t>
  </si>
  <si>
    <t>YO</t>
  </si>
  <si>
    <t>YP</t>
  </si>
  <si>
    <t>YQ</t>
  </si>
  <si>
    <t>YR</t>
  </si>
  <si>
    <t>YS</t>
  </si>
  <si>
    <t>YT</t>
  </si>
  <si>
    <t>YU</t>
  </si>
  <si>
    <t>YV</t>
  </si>
  <si>
    <t>YW</t>
  </si>
  <si>
    <t>YX</t>
  </si>
  <si>
    <t>YY</t>
  </si>
  <si>
    <t>YZ</t>
  </si>
  <si>
    <t>ZA</t>
  </si>
  <si>
    <t>ZB</t>
  </si>
  <si>
    <t>ZC</t>
  </si>
  <si>
    <t>ZD</t>
  </si>
  <si>
    <t>ZE</t>
  </si>
  <si>
    <t>ZF</t>
  </si>
  <si>
    <t>ZG</t>
  </si>
  <si>
    <t>ZH</t>
  </si>
  <si>
    <t>ZI</t>
  </si>
  <si>
    <t>ZJ</t>
  </si>
  <si>
    <t>ZK</t>
  </si>
  <si>
    <t>ZL</t>
  </si>
  <si>
    <t>ZM</t>
  </si>
  <si>
    <t>ZN</t>
  </si>
  <si>
    <t>ZO</t>
  </si>
  <si>
    <t>ZP</t>
  </si>
  <si>
    <t>ZQ</t>
  </si>
  <si>
    <t>ZR</t>
  </si>
  <si>
    <t>ZS</t>
  </si>
  <si>
    <t>ZT</t>
  </si>
  <si>
    <t>ZU</t>
  </si>
  <si>
    <t>ZV</t>
  </si>
  <si>
    <t>ZW</t>
  </si>
  <si>
    <t>ZX</t>
  </si>
  <si>
    <t>ZY</t>
  </si>
  <si>
    <t>ZZ</t>
  </si>
  <si>
    <t>$PRP@XXX NO</t>
  </si>
  <si>
    <t>XXX-15</t>
  </si>
  <si>
    <t>XXX-15 TOP ANGLE, REGION B, COMMON TYPE</t>
  </si>
  <si>
    <t>XXX-15-B-CM-TA</t>
  </si>
  <si>
    <t>XXX-15-B-CM</t>
  </si>
  <si>
    <t>XXX-320-B-CM-TRS-1</t>
  </si>
  <si>
    <t>XXX-650-B-CM-TRS-22</t>
  </si>
  <si>
    <t>XXX-650-B-CM-TRS-1</t>
  </si>
  <si>
    <t>C:\Users\khanh.nguyen\OneDrive - xxx\Desktop\PackNGo\E-XXX\MFG DRAWINGS\PD-XXX-650-B-CM-TRS-32-PRO.SLDDRW</t>
  </si>
  <si>
    <t>XXX-650-32</t>
  </si>
  <si>
    <t>XXX-650-B-CM-TRS-32</t>
  </si>
  <si>
    <t>XXX-25</t>
  </si>
  <si>
    <t>XXX-25 TOP ANGLE, REGION B, COMMON TYPE</t>
  </si>
  <si>
    <t>XXX-25-B-CM-TA</t>
  </si>
  <si>
    <t>XXX-25-B-CM</t>
  </si>
  <si>
    <t>XXX-320-B-CM-TRS-2</t>
  </si>
  <si>
    <t>XXX-650-B-CM-TRS-2</t>
  </si>
  <si>
    <t>C:\Users\khanh.nguyen\OneDrive - xxx\Desktop\PackNGo\E-XXX\MFG DRAWINGS\PD-XXX-650-B-CM-TRS-32-TC.SLDDRW</t>
  </si>
  <si>
    <t>XXX-40</t>
  </si>
  <si>
    <t>XXX-40 TOP ANGLE, REGION B, COMMON TYPE</t>
  </si>
  <si>
    <t>XXX-40-B-CM-TA</t>
  </si>
  <si>
    <t>XXX-40-B-CM</t>
  </si>
  <si>
    <t>XXX-320-B-CM-TRS-3</t>
  </si>
  <si>
    <t>C:\Users\khanh.nguyen\OneDrive - xxx\Desktop\PackNGo\E-XXX\MFG DRAWINGS\PD-XXX-650-B-CM-TRS-42-PRO.SLDDRW</t>
  </si>
  <si>
    <t>XXX-650-42</t>
  </si>
  <si>
    <t>XXX-650-B-CM-TRS-42</t>
  </si>
  <si>
    <t>XXX-60</t>
  </si>
  <si>
    <t>XXX-60 TOP ANGLE, REGION B, COMMON TYPE</t>
  </si>
  <si>
    <t>XXX-60-B-CM-TA</t>
  </si>
  <si>
    <t>XXX-60-B-CM</t>
  </si>
  <si>
    <t>XXX-320-B-CM-TRS-22</t>
  </si>
  <si>
    <t>XXX-650-B-CM-TRS-3</t>
  </si>
  <si>
    <t>C:\Users\khanh.nguyen\OneDrive - xxx\Desktop\PackNGo\E-XXX\MFG DRAWINGS\PD-XXX-650-B-CM-TRS-42-TC.SLDDRW</t>
  </si>
  <si>
    <t>XXX-80</t>
  </si>
  <si>
    <t>XXX-80 TOP ANGLE, REGION B, COMMON TYPE</t>
  </si>
  <si>
    <t>XXX-80-B-CM-TA</t>
  </si>
  <si>
    <t>XXX-80-B-CM</t>
  </si>
  <si>
    <t>XXX-320-B-CM-TRS-32</t>
  </si>
  <si>
    <t>XXX-650-B-CM-TRS-4</t>
  </si>
  <si>
    <t>C:\Users\khanh.nguyen\OneDrive - xxx\Desktop\PackNGo\E-XXX\MFG DRAWINGS\PD-XXX-650-B-CM-TRS-52-PRO.SLDDRW</t>
  </si>
  <si>
    <t>XXX-650-52</t>
  </si>
  <si>
    <t>XXX-650-B-CM-TRS-52</t>
  </si>
  <si>
    <t>XXX-100</t>
  </si>
  <si>
    <t>XXX-100 TOP ANGLE, REGION B, COMMON TYPE</t>
  </si>
  <si>
    <t>XXX-100-B-CM-TA</t>
  </si>
  <si>
    <t>XXX-100-B-CM</t>
  </si>
  <si>
    <t>XXX-360-B-CM-TRS-1</t>
  </si>
  <si>
    <t>XXX-650-B-CM-TRS-5</t>
  </si>
  <si>
    <t>C:\Users\khanh.nguyen\OneDrive - xxx\Desktop\PackNGo\E-XXX\MFG DRAWINGS\PD-XXX-650-B-CM-TRS-52-TC.SLDDRW</t>
  </si>
  <si>
    <t>XXX-130</t>
  </si>
  <si>
    <t>XXX-130 TOP ANGLE, REGION B, COMMON TYPE</t>
  </si>
  <si>
    <t>XXX-130-B-CM-TA</t>
  </si>
  <si>
    <t>XXX-130-B-CM</t>
  </si>
  <si>
    <t>XXX-360-B-CM-TRS-2</t>
  </si>
  <si>
    <t>XXX-160</t>
  </si>
  <si>
    <t>XXX-160 TOP ANGLE, REGION B, COMMON TYPE</t>
  </si>
  <si>
    <t>XXX-160-B-CM-TA</t>
  </si>
  <si>
    <t>XXX-160-B-CM</t>
  </si>
  <si>
    <t>XXX-360-B-CM-TRS-3</t>
  </si>
  <si>
    <t>XXX-200</t>
  </si>
  <si>
    <t>XXX-200 TOP ANGLE, REGION B, COMMON TYPE</t>
  </si>
  <si>
    <t>XXX-200-B-CM-TA</t>
  </si>
  <si>
    <t>XXX-200-B-CM</t>
  </si>
  <si>
    <t>XXX-360-B-CM-TRS-4</t>
  </si>
  <si>
    <t>XXX-230</t>
  </si>
  <si>
    <t>XXX-230 TOP ANGLE, REGION B, COMMON TYPE</t>
  </si>
  <si>
    <t>XXX-230-B-CM-TA</t>
  </si>
  <si>
    <t>XXX-230-B-CM</t>
  </si>
  <si>
    <t>XXX-360-B-CM-TRS-22</t>
  </si>
  <si>
    <t>XXX-275</t>
  </si>
  <si>
    <t>XXX-275 TOP ANGLE, REGION B, COMMON TYPE</t>
  </si>
  <si>
    <t>XXX-275-B-CM-TA</t>
  </si>
  <si>
    <t>XXX-275-B-CM</t>
  </si>
  <si>
    <t>XXX-360-B-CM-TRS-32</t>
  </si>
  <si>
    <t>XXX-320</t>
  </si>
  <si>
    <t>XXX-320 TOP ANGLE, REGION B, COMMON TYPE</t>
  </si>
  <si>
    <t>XXX-320-B-CM-TA</t>
  </si>
  <si>
    <t>XXX-320-B-CM</t>
  </si>
  <si>
    <t>XXX-360-B-CM-TRS-42</t>
  </si>
  <si>
    <t>XXX-360</t>
  </si>
  <si>
    <t>XXX-360 TOP ANGLE, REGION B, COMMON TYPE</t>
  </si>
  <si>
    <t>XXX-360-B-CM-TA</t>
  </si>
  <si>
    <t>XXX-360-B-CM</t>
  </si>
  <si>
    <t>XXX-420-B-CM-TRS-1</t>
  </si>
  <si>
    <t>XXX-420</t>
  </si>
  <si>
    <t>XXX-420 TOP ANGLE, REGION B, COMMON TYPE</t>
  </si>
  <si>
    <t>XXX-420-B-CM-TA</t>
  </si>
  <si>
    <t>XXX-420-B-CM</t>
  </si>
  <si>
    <t>XXX-420-B-CM-TRS-2</t>
  </si>
  <si>
    <t>XXX-470</t>
  </si>
  <si>
    <t>XXX-470 TOP ANGLE, REGION B, COMMON TYPE</t>
  </si>
  <si>
    <t>XXX-470-B-CM-TA</t>
  </si>
  <si>
    <t>XXX-470-B-CM</t>
  </si>
  <si>
    <t>XXX-420-B-CM-TRS-3</t>
  </si>
  <si>
    <t>XXX-530</t>
  </si>
  <si>
    <t>XXX-530 TOP ANGLE, REGION B, COMMON TYPE</t>
  </si>
  <si>
    <t>XXX-530-B-CM-TA</t>
  </si>
  <si>
    <t>XXX-530-B-CM</t>
  </si>
  <si>
    <t>XXX-420-B-CM-TRS-4</t>
  </si>
  <si>
    <t>XXX-590</t>
  </si>
  <si>
    <t>XXX-590 TOP ANGLE, REGION B, COMMON TYPE</t>
  </si>
  <si>
    <t>XXX-590-B-CM-TA</t>
  </si>
  <si>
    <t>XXX-590-B-CM</t>
  </si>
  <si>
    <t>XXX-420-B-CM-TRS-22</t>
  </si>
  <si>
    <t>XXX-650</t>
  </si>
  <si>
    <t>XXX-650 TOP ANGLE, REGION B, EXPORT ONLY TYPE</t>
  </si>
  <si>
    <t>XXX-650-B-EX-TA</t>
  </si>
  <si>
    <t>XXX-650-B-EX</t>
  </si>
  <si>
    <t>XXX-420-B-CM-TRS-32</t>
  </si>
  <si>
    <t>XXX-720</t>
  </si>
  <si>
    <t>XXX-720 TOP ANGLE, REGION B, EXPORT ONLY TYPE</t>
  </si>
  <si>
    <t>XXX-720-B-EX-TA</t>
  </si>
  <si>
    <t>XXX-720-B-EX</t>
  </si>
  <si>
    <t>XXX-420-B-CM-TRS-42</t>
  </si>
  <si>
    <t>XXX-790</t>
  </si>
  <si>
    <t>XXX-790 TOP ANGLE, REGION B, EXPORT ONLY TYPE</t>
  </si>
  <si>
    <t>XXX-790-B-EX-TA</t>
  </si>
  <si>
    <t>XXX-790-B-EX</t>
  </si>
  <si>
    <t>XXX-470-B-CM-TRS-1</t>
  </si>
  <si>
    <t>XXX-860</t>
  </si>
  <si>
    <t>XXX-860 TOP ANGLE, REGION B, EXPORT ONLY TYPE</t>
  </si>
  <si>
    <t>XXX-860-B-EX-TA</t>
  </si>
  <si>
    <t>XXX-860-B-EX</t>
  </si>
  <si>
    <t>XXX-470-B-CM-TRS-2</t>
  </si>
  <si>
    <t>XXX-940</t>
  </si>
  <si>
    <t>XXX-940 TOP ANGLE, REGION B, EXPORT ONLY TYPE</t>
  </si>
  <si>
    <t>XXX-940-B-EX-TA</t>
  </si>
  <si>
    <t>XXX-940-B-EX</t>
  </si>
  <si>
    <t>XXX-470-B-CM-TRS-3</t>
  </si>
  <si>
    <t>XXX-1010</t>
  </si>
  <si>
    <t>XXX-1010 TOP ANGLE, REGION B, EXPORT ONLY TYPE</t>
  </si>
  <si>
    <t>XXX-1010-B-EX-TA</t>
  </si>
  <si>
    <t>XXX-1010-B-EX</t>
  </si>
  <si>
    <t>XXX-470-B-CM-TRS-4</t>
  </si>
  <si>
    <t>XXX-1180</t>
  </si>
  <si>
    <t>XXX-1180 TOP ANGLE, REGION B, EXPORT ONLY TYPE</t>
  </si>
  <si>
    <t>XXX-1180-B-EX-TA</t>
  </si>
  <si>
    <t>XXX-1180-B-EX</t>
  </si>
  <si>
    <t>XXX-470-B-CM-TRS-22</t>
  </si>
  <si>
    <t>XXX-470-B-CM-TRS-32</t>
  </si>
  <si>
    <t>XXX-470-B-CM-TRS-42</t>
  </si>
  <si>
    <t>XXX-530-B-CM-TRS-1</t>
  </si>
  <si>
    <t>XXX-530-B-CM-TRS-2</t>
  </si>
  <si>
    <t>XXX-530-B-CM-TRS-3</t>
  </si>
  <si>
    <t>XXX-530-B-CM-TRS-4</t>
  </si>
  <si>
    <t>XXX-530-B-CM-TRS-22</t>
  </si>
  <si>
    <t>XXX-530-B-CM-TRS-32</t>
  </si>
  <si>
    <t>XXX-530-B-CM-TRS-42</t>
  </si>
  <si>
    <t>XXX-590-B-CM-TRS-1</t>
  </si>
  <si>
    <t>XXX-590-B-CM-TRS-2</t>
  </si>
  <si>
    <t>XXX-590-B-CM-TRS-3</t>
  </si>
  <si>
    <t>XXX-590-B-CM-TRS-4</t>
  </si>
  <si>
    <t>XXX-590-B-CM-TRS-5</t>
  </si>
  <si>
    <t>XXX-590-B-CM-TRS-22</t>
  </si>
  <si>
    <t>XXX-590-B-CM-TRS-32</t>
  </si>
  <si>
    <t>XXX-590-B-CM-TRS-42</t>
  </si>
  <si>
    <t>XXX-590-B-CM-TRS-52</t>
  </si>
  <si>
    <t>XXX-720-B-CM-TRS-1</t>
  </si>
  <si>
    <t>XXX-720-B-CM-TRS-2</t>
  </si>
  <si>
    <t>XXX-720-B-CM-TRS-3</t>
  </si>
  <si>
    <t>XXX-720-B-CM-TRS-4</t>
  </si>
  <si>
    <t>XXX-720-B-CM-TRS-5</t>
  </si>
  <si>
    <t>XXX-720-B-CM-TRS-22</t>
  </si>
  <si>
    <t>XXX-720-B-CM-TRS-32</t>
  </si>
  <si>
    <t>XXX-720-B-CM-TRS-42</t>
  </si>
  <si>
    <t>XXX-720-B-CM-TRS-52</t>
  </si>
  <si>
    <t>XXX-790-B-CM-TRS-1</t>
  </si>
  <si>
    <t>XXX-790-B-CM-TRS-2</t>
  </si>
  <si>
    <t>XXX-790-B-CM-TRS-3</t>
  </si>
  <si>
    <t>XXX-790-B-CM-TRS-4</t>
  </si>
  <si>
    <t>XXX-790-B-CM-TRS-5</t>
  </si>
  <si>
    <t>XXX-790-B-CM-TRS-22</t>
  </si>
  <si>
    <t>XXX-790-B-CM-TRS-32</t>
  </si>
  <si>
    <t>XXX-790-B-CM-TRS-42</t>
  </si>
  <si>
    <t>XXX-790-B-CM-TRS-52</t>
  </si>
  <si>
    <t>XXX-860-B-CM-TRS-1</t>
  </si>
  <si>
    <t>XXX-860-B-CM-TRS-2</t>
  </si>
  <si>
    <t>XXX-860-B-CM-TRS-3</t>
  </si>
  <si>
    <t>XXX-860-B-CM-TRS-4</t>
  </si>
  <si>
    <t>XXX-860-B-CM-TRS-5</t>
  </si>
  <si>
    <t>XXX-860-B-CM-TRS-6</t>
  </si>
  <si>
    <t>XXX-860-B-CM-TRS-22</t>
  </si>
  <si>
    <t>XXX-860-B-CM-TRS-32</t>
  </si>
  <si>
    <t>XXX-860-B-CM-TRS-42</t>
  </si>
  <si>
    <t>XXX-860-B-CM-TRS-52</t>
  </si>
  <si>
    <t>XXX-860-B-CM-TRS-62</t>
  </si>
  <si>
    <t>XXX-940-B-CM-TRS-1</t>
  </si>
  <si>
    <t>XXX-940-B-CM-TRS-2</t>
  </si>
  <si>
    <t>XXX-940-B-CM-TRS-3</t>
  </si>
  <si>
    <t>XXX-940-B-CM-TRS-4</t>
  </si>
  <si>
    <t>XXX-940-B-CM-TRS-5</t>
  </si>
  <si>
    <t>XXX-940-B-CM-TRS-6</t>
  </si>
  <si>
    <t>XXX-940-B-CM-TRS-22</t>
  </si>
  <si>
    <t>XXX-940-B-CM-TRS-32</t>
  </si>
  <si>
    <t>XXX-940-B-CM-TRS-42</t>
  </si>
  <si>
    <t>XXX-940-B-CM-TRS-52</t>
  </si>
  <si>
    <t>XXX-940-B-CM-TRS-62</t>
  </si>
  <si>
    <t>XXX-1010-B-CM-TRS-1</t>
  </si>
  <si>
    <t>XXX-1010-B-CM-TRS-2</t>
  </si>
  <si>
    <t>XXX-1010-B-CM-TRS-3</t>
  </si>
  <si>
    <t>XXX-1010-B-CM-TRS-4</t>
  </si>
  <si>
    <t>XXX-1010-B-CM-TRS-5</t>
  </si>
  <si>
    <t>XXX-1010-B-CM-TRS-6</t>
  </si>
  <si>
    <t>XXX-1010-B-CM-TRS-22</t>
  </si>
  <si>
    <t>XXX-1010-B-CM-TRS-32</t>
  </si>
  <si>
    <t>XXX-1010-B-CM-TRS-42</t>
  </si>
  <si>
    <t>XXX-1010-B-CM-TRS-52</t>
  </si>
  <si>
    <t>XXX-1010-B-CM-TRS-62</t>
  </si>
  <si>
    <t>XXX-1180-B-CM-TRS-1</t>
  </si>
  <si>
    <t>XXX-1180-B-CM-TRS-2</t>
  </si>
  <si>
    <t>XXX-1180-B-CM-TRS-3</t>
  </si>
  <si>
    <t>XXX-1180-B-CM-TRS-4</t>
  </si>
  <si>
    <t>XXX-1180-B-CM-TRS-5</t>
  </si>
  <si>
    <t>XXX-1180-B-CM-TRS-6</t>
  </si>
  <si>
    <t>XXX-1180-B-CM-TRS-22</t>
  </si>
  <si>
    <t>XXX-1180-B-CM-TRS-32</t>
  </si>
  <si>
    <t>XXX-1180-B-CM-TRS-42</t>
  </si>
  <si>
    <t>XXX-1180-B-CM-TRS-52</t>
  </si>
  <si>
    <t>XXX-1180-B-CM-TRS-62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</si>
</sst>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left"/>
    </xf>
    <xf numFmtId="0" fontId="0" fillId="2" borderId="1" xfId="0" applyFill="1" applyBorder="1"/>
    <xf numFmtId="0" fontId="0" fillId="3" borderId="0" xfId="0" applyFill="1"/>
    <xf numFmtId="0" fontId="0" fillId="2" borderId="0" xfId="0" applyFill="1"/>
    <xf numFmtId="0" fontId="0" fillId="4" borderId="0" xfId="0" applyFill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304C1-CDB5-4189-B63C-69449F33ADCD}">
  <sheetPr codeName="Sheet1"/>
  <dimension ref="A1:BE702"/>
  <sheetViews>
    <sheetView tabSelected="1" topLeftCell="AP1" zoomScale="85" zoomScaleNormal="85" workbookViewId="0">
      <selection activeCell="BB33" sqref="BB33"/>
    </sheetView>
  </sheetViews>
  <sheetFormatPr defaultRowHeight="15" x14ac:dyDescent="0.25"/>
  <cols>
    <col min="1" max="2" width="10.7109375" customWidth="1"/>
    <col min="6" max="7" width="13.140625" bestFit="1" customWidth="1"/>
    <col min="8" max="9" width="26.85546875" bestFit="1" customWidth="1"/>
    <col min="10" max="10" width="10.85546875" customWidth="1"/>
    <col min="11" max="11" width="10.5703125" bestFit="1" customWidth="1"/>
    <col min="14" max="14" width="8.7109375" style="1"/>
    <col min="16" max="16" width="14.85546875" bestFit="1" customWidth="1"/>
    <col min="17" max="17" width="11.5703125" bestFit="1" customWidth="1"/>
    <col min="20" max="20" width="18.5703125" bestFit="1" customWidth="1"/>
    <col min="21" max="21" width="19" bestFit="1" customWidth="1"/>
    <col min="22" max="22" width="14.5703125" bestFit="1" customWidth="1"/>
    <col min="23" max="24" width="44.85546875" bestFit="1" customWidth="1"/>
    <col min="25" max="25" width="13.140625" bestFit="1" customWidth="1"/>
    <col min="26" max="26" width="13.42578125" bestFit="1" customWidth="1"/>
    <col min="27" max="27" width="16.5703125" bestFit="1" customWidth="1"/>
    <col min="28" max="28" width="18.85546875" bestFit="1" customWidth="1"/>
    <col min="29" max="29" width="15.85546875" bestFit="1" customWidth="1"/>
    <col min="30" max="30" width="20.28515625" bestFit="1" customWidth="1"/>
    <col min="32" max="32" width="11.42578125" bestFit="1" customWidth="1"/>
    <col min="33" max="33" width="14.140625" bestFit="1" customWidth="1"/>
    <col min="34" max="34" width="10.42578125" bestFit="1" customWidth="1"/>
    <col min="35" max="35" width="20.28515625" bestFit="1" customWidth="1"/>
    <col min="36" max="36" width="24.42578125" bestFit="1" customWidth="1"/>
    <col min="37" max="37" width="19.28515625" bestFit="1" customWidth="1"/>
    <col min="38" max="38" width="23.85546875" bestFit="1" customWidth="1"/>
    <col min="39" max="39" width="31" bestFit="1" customWidth="1"/>
    <col min="40" max="40" width="27" bestFit="1" customWidth="1"/>
    <col min="41" max="41" width="21.140625" customWidth="1"/>
    <col min="42" max="42" width="23.140625" bestFit="1" customWidth="1"/>
    <col min="54" max="54" width="117.85546875" bestFit="1" customWidth="1"/>
    <col min="55" max="55" width="16.28515625" bestFit="1" customWidth="1"/>
    <col min="56" max="56" width="28.140625" bestFit="1" customWidth="1"/>
    <col min="57" max="57" width="23.85546875" bestFit="1" customWidth="1"/>
  </cols>
  <sheetData>
    <row r="1" spans="1:57" s="6" customFormat="1" ht="15.95" customHeight="1" thickBot="1" x14ac:dyDescent="0.3">
      <c r="A1" s="6" t="s">
        <v>0</v>
      </c>
      <c r="D1" s="6" t="s">
        <v>1</v>
      </c>
      <c r="F1" s="6" t="s">
        <v>2</v>
      </c>
      <c r="G1" s="6" t="s">
        <v>3</v>
      </c>
      <c r="H1" s="6" t="s">
        <v>4</v>
      </c>
      <c r="I1" s="6" t="s">
        <v>5</v>
      </c>
      <c r="K1" s="6" t="s">
        <v>6</v>
      </c>
      <c r="M1" s="6" t="s">
        <v>7</v>
      </c>
      <c r="N1" s="6" t="s">
        <v>8</v>
      </c>
      <c r="P1" s="6" t="s">
        <v>9</v>
      </c>
      <c r="Q1" s="6" t="s">
        <v>10</v>
      </c>
      <c r="T1" s="6" t="s">
        <v>11</v>
      </c>
      <c r="V1" s="6" t="s">
        <v>12</v>
      </c>
      <c r="W1" s="6" t="s">
        <v>13</v>
      </c>
      <c r="X1" s="6" t="s">
        <v>14</v>
      </c>
      <c r="Y1" s="6" t="s">
        <v>745</v>
      </c>
      <c r="Z1" s="6" t="s">
        <v>15</v>
      </c>
      <c r="AA1" s="6" t="s">
        <v>16</v>
      </c>
      <c r="AB1" s="6" t="s">
        <v>17</v>
      </c>
      <c r="AC1" s="6" t="s">
        <v>18</v>
      </c>
      <c r="AD1" s="6" t="s">
        <v>19</v>
      </c>
      <c r="AG1" s="6" t="s">
        <v>20</v>
      </c>
      <c r="AH1" s="6" t="s">
        <v>21</v>
      </c>
      <c r="AJ1" s="6" t="s">
        <v>22</v>
      </c>
      <c r="AK1" s="6" t="s">
        <v>21</v>
      </c>
      <c r="AL1" s="6" t="s">
        <v>23</v>
      </c>
      <c r="AM1" s="6" t="s">
        <v>24</v>
      </c>
      <c r="AN1" s="6" t="s">
        <v>25</v>
      </c>
      <c r="AO1" s="6" t="s">
        <v>26</v>
      </c>
      <c r="BB1" s="6" t="s">
        <v>27</v>
      </c>
      <c r="BC1" s="6" t="s">
        <v>28</v>
      </c>
      <c r="BD1" s="6" t="s">
        <v>29</v>
      </c>
      <c r="BE1" s="6" t="s">
        <v>30</v>
      </c>
    </row>
    <row r="2" spans="1:57" ht="15.75" thickBot="1" x14ac:dyDescent="0.3">
      <c r="A2" t="s">
        <v>746</v>
      </c>
      <c r="D2" s="2">
        <v>6400</v>
      </c>
      <c r="E2">
        <v>2200</v>
      </c>
      <c r="K2" t="str">
        <f t="shared" ref="K2:K15" si="0" xml:space="preserve"> MID(ADDRESS(1, ROW()-1),2,1+(ROW()-1&gt;26))</f>
        <v>A</v>
      </c>
      <c r="O2" t="str">
        <f>TRIM(RIGHT(SUBSTITUTE(A2, "-", REPT(" ",LEN(A2))), LEN(A2)))</f>
        <v>15</v>
      </c>
      <c r="P2">
        <v>2913</v>
      </c>
      <c r="Q2">
        <v>2200</v>
      </c>
      <c r="T2" t="str">
        <f>A2 &amp; " TOP ANGLE"</f>
        <v>XXX-15 TOP ANGLE</v>
      </c>
      <c r="U2" t="s">
        <v>746</v>
      </c>
      <c r="V2" t="s">
        <v>31</v>
      </c>
      <c r="W2" t="s">
        <v>747</v>
      </c>
      <c r="X2" t="s">
        <v>747</v>
      </c>
      <c r="Y2" t="s">
        <v>32</v>
      </c>
      <c r="Z2" t="s">
        <v>33</v>
      </c>
      <c r="AA2" t="s">
        <v>34</v>
      </c>
      <c r="AB2" t="str">
        <f>"PD-" &amp; AC2</f>
        <v>PD-XXX-15-B-CM-TA</v>
      </c>
      <c r="AC2" t="s">
        <v>748</v>
      </c>
      <c r="AD2" t="s">
        <v>749</v>
      </c>
      <c r="AF2" t="str">
        <f>SUBSTITUTE(AI2, "-B-CM-TRS", "")</f>
        <v>XXX-320-1</v>
      </c>
      <c r="AG2" s="4" t="str">
        <f>SUBSTITUTE(AJ2, "-B-CM-TRS", "")</f>
        <v>XXX-650-22</v>
      </c>
      <c r="AH2" s="4" t="str">
        <f>SUBSTITUTE(AK2, "-B-CM-TRS", "")</f>
        <v>XXX-650-1</v>
      </c>
      <c r="AI2" t="s">
        <v>750</v>
      </c>
      <c r="AJ2" s="4" t="s">
        <v>751</v>
      </c>
      <c r="AK2" s="4" t="s">
        <v>752</v>
      </c>
      <c r="AL2" t="str">
        <f>AJ$2</f>
        <v>XXX-650-B-CM-TRS-22</v>
      </c>
      <c r="AM2" t="str">
        <f>"PD-" &amp; AJ2</f>
        <v>PD-XXX-650-B-CM-TRS-22</v>
      </c>
      <c r="AO2" t="str">
        <f t="shared" ref="AO2:AO7" si="1">TRIM(RIGHT(SUBSTITUTE(AN2,"-",REPT(" ",LEN(AN2))),LEN(AN2)))</f>
        <v/>
      </c>
      <c r="BB2" t="s">
        <v>753</v>
      </c>
      <c r="BC2" t="s">
        <v>754</v>
      </c>
      <c r="BD2" t="s">
        <v>755</v>
      </c>
      <c r="BE2" t="s">
        <v>751</v>
      </c>
    </row>
    <row r="3" spans="1:57" x14ac:dyDescent="0.25">
      <c r="A3" t="s">
        <v>756</v>
      </c>
      <c r="D3">
        <v>5700</v>
      </c>
      <c r="E3">
        <v>2900</v>
      </c>
      <c r="K3" t="str">
        <f t="shared" si="0"/>
        <v>B</v>
      </c>
      <c r="O3" t="str">
        <f t="shared" ref="O3" si="2">TRIM(RIGHT(SUBSTITUTE(A3, "-", REPT(" ",LEN(A3))), LEN(A3)))</f>
        <v>25</v>
      </c>
      <c r="P3">
        <v>3884</v>
      </c>
      <c r="Q3">
        <v>6400</v>
      </c>
      <c r="T3" t="str">
        <f t="shared" ref="T3:T25" si="3">A3 &amp; " TOP ANGLE"</f>
        <v>XXX-25 TOP ANGLE</v>
      </c>
      <c r="U3" t="s">
        <v>756</v>
      </c>
      <c r="V3" t="s">
        <v>31</v>
      </c>
      <c r="W3" t="s">
        <v>757</v>
      </c>
      <c r="X3" t="s">
        <v>757</v>
      </c>
      <c r="Y3" t="s">
        <v>35</v>
      </c>
      <c r="Z3" t="s">
        <v>33</v>
      </c>
      <c r="AA3" t="s">
        <v>34</v>
      </c>
      <c r="AB3" t="str">
        <f t="shared" ref="AB3:AB25" si="4">"PD-" &amp; AC3</f>
        <v>PD-XXX-25-B-CM-TA</v>
      </c>
      <c r="AC3" t="s">
        <v>758</v>
      </c>
      <c r="AD3" t="s">
        <v>759</v>
      </c>
      <c r="AF3" t="str">
        <f t="shared" ref="AF3:AF66" si="5">SUBSTITUTE(AI3, "-B-CM-TRS", "")</f>
        <v>XXX-320-2</v>
      </c>
      <c r="AG3" s="5" t="str" cm="1">
        <f t="array" ref="AG3:AG5">_xlfn._xlws.FILTER(AF2:AF114, (ISNUMBER(SEARCH(AG26,AF2:AF114))) * (AF2:AF114&lt;&gt;AH2) * (AF2:AF114&lt;&gt;AH3) * (AF2:AF114&lt;&gt;AH4) * (AF2:AF114&lt;&gt;AH5) * (AF2:AF114&lt;&gt;AH6) * (AF2:AF114&lt;&gt;AH7) * (AF2:AF114&lt;&gt;AH8) * (AF2:AF114&lt;&gt;AH9) * (AF2:AF114&lt;&gt;AH10) * (AF2:AF114&lt;&gt;AH11) * (AF2:AF114&lt;&gt;AH12), "")</f>
        <v>XXX-650-32</v>
      </c>
      <c r="AH3" s="4" t="str">
        <f>SUBSTITUTE(AK3, "-B-CM-TRS", "")</f>
        <v>XXX-650-2</v>
      </c>
      <c r="AI3" t="s">
        <v>760</v>
      </c>
      <c r="AJ3" s="5" t="str" cm="1">
        <f t="array" ref="AJ3:AJ5">_xlfn._xlws.FILTER(AI2:AI114, (ISNUMBER(SEARCH(AJ26,AI2:AI114))) * (AI2:AI114&lt;&gt;AK2) * (AI2:AI114&lt;&gt;AK3) * (AI2:AI114&lt;&gt;AK4) * (AI2:AI114&lt;&gt;AK5) * (AI2:AI114&lt;&gt;AK6) * (AI2:AI114&lt;&gt;AK7) * (AI2:AI114&lt;&gt;AK8) * (AI2:AI114&lt;&gt;AK9) * (AI2:AI114&lt;&gt;AK10) * (AI2:AI114&lt;&gt;AK11) * (AI2:AI114&lt;&gt;AK12), "")</f>
        <v>XXX-650-B-CM-TRS-32</v>
      </c>
      <c r="AK3" s="4" t="s">
        <v>761</v>
      </c>
      <c r="AL3" t="str">
        <f>AJ$2 &amp; "-BC"</f>
        <v>XXX-650-B-CM-TRS-22-BC</v>
      </c>
      <c r="AM3" s="5" t="str">
        <f t="shared" ref="AM3:AM38" si="6">IF(AJ3 &lt;&gt; "", "PD-" &amp; AJ3, "")</f>
        <v>PD-XXX-650-B-CM-TRS-32</v>
      </c>
      <c r="AN3" t="str">
        <f t="shared" ref="AN3:AN5" si="7">"PD-" &amp; AL3</f>
        <v>PD-XXX-650-B-CM-TRS-22-BC</v>
      </c>
      <c r="AO3" t="str">
        <f t="shared" si="1"/>
        <v>BC</v>
      </c>
      <c r="BB3" t="s">
        <v>762</v>
      </c>
      <c r="BC3" t="s">
        <v>754</v>
      </c>
      <c r="BD3" t="s">
        <v>755</v>
      </c>
      <c r="BE3" t="s">
        <v>751</v>
      </c>
    </row>
    <row r="4" spans="1:57" x14ac:dyDescent="0.25">
      <c r="A4" t="s">
        <v>763</v>
      </c>
      <c r="D4">
        <v>5000</v>
      </c>
      <c r="E4">
        <v>3600</v>
      </c>
      <c r="K4" t="str">
        <f t="shared" si="0"/>
        <v>C</v>
      </c>
      <c r="N4" s="1">
        <v>40</v>
      </c>
      <c r="O4" t="str">
        <f t="shared" ref="O4:O25" si="8">TRIM(RIGHT(SUBSTITUTE(A4, "-", REPT(" ",LEN(A4))), LEN(A4)))</f>
        <v>40</v>
      </c>
      <c r="P4">
        <v>4855</v>
      </c>
      <c r="Q4">
        <v>6400</v>
      </c>
      <c r="T4" t="str">
        <f t="shared" si="3"/>
        <v>XXX-40 TOP ANGLE</v>
      </c>
      <c r="U4" t="s">
        <v>763</v>
      </c>
      <c r="V4" t="s">
        <v>31</v>
      </c>
      <c r="W4" t="s">
        <v>764</v>
      </c>
      <c r="X4" t="s">
        <v>764</v>
      </c>
      <c r="Y4" t="s">
        <v>36</v>
      </c>
      <c r="Z4" t="s">
        <v>33</v>
      </c>
      <c r="AA4" t="s">
        <v>34</v>
      </c>
      <c r="AB4" t="str">
        <f t="shared" si="4"/>
        <v>PD-XXX-40-B-CM-TA</v>
      </c>
      <c r="AC4" t="s">
        <v>765</v>
      </c>
      <c r="AD4" t="s">
        <v>766</v>
      </c>
      <c r="AF4" t="str">
        <f t="shared" si="5"/>
        <v>XXX-320-3</v>
      </c>
      <c r="AG4" s="5" t="str">
        <v>XXX-650-42</v>
      </c>
      <c r="AH4" s="4" t="str">
        <f t="shared" ref="AH4:AH12" si="9">SUBSTITUTE(AK4, "-B-CM-TRS", "")</f>
        <v>XXX-650-22</v>
      </c>
      <c r="AI4" t="s">
        <v>767</v>
      </c>
      <c r="AJ4" s="5" t="str">
        <v>XXX-650-B-CM-TRS-42</v>
      </c>
      <c r="AK4" s="5" t="s">
        <v>751</v>
      </c>
      <c r="AL4" t="str">
        <f>AJ$2 &amp; "-IFX"</f>
        <v>XXX-650-B-CM-TRS-22-IFX</v>
      </c>
      <c r="AM4" s="5" t="str">
        <f t="shared" si="6"/>
        <v>PD-XXX-650-B-CM-TRS-42</v>
      </c>
      <c r="AN4" t="str">
        <f t="shared" si="7"/>
        <v>PD-XXX-650-B-CM-TRS-22-IFX</v>
      </c>
      <c r="AO4" t="str">
        <f t="shared" si="1"/>
        <v>IFX</v>
      </c>
      <c r="BB4" t="s">
        <v>768</v>
      </c>
      <c r="BC4" t="s">
        <v>769</v>
      </c>
      <c r="BD4" t="s">
        <v>770</v>
      </c>
      <c r="BE4" t="s">
        <v>751</v>
      </c>
    </row>
    <row r="5" spans="1:57" x14ac:dyDescent="0.25">
      <c r="A5" t="s">
        <v>771</v>
      </c>
      <c r="D5">
        <v>4300</v>
      </c>
      <c r="E5">
        <v>4300</v>
      </c>
      <c r="K5" t="str">
        <f t="shared" si="0"/>
        <v>D</v>
      </c>
      <c r="O5" t="str">
        <f t="shared" si="8"/>
        <v>60</v>
      </c>
      <c r="P5">
        <v>5826</v>
      </c>
      <c r="Q5">
        <v>6400</v>
      </c>
      <c r="T5" t="str">
        <f t="shared" si="3"/>
        <v>XXX-60 TOP ANGLE</v>
      </c>
      <c r="U5" t="s">
        <v>771</v>
      </c>
      <c r="V5" t="s">
        <v>31</v>
      </c>
      <c r="W5" t="s">
        <v>772</v>
      </c>
      <c r="X5" t="s">
        <v>772</v>
      </c>
      <c r="Y5" t="s">
        <v>37</v>
      </c>
      <c r="Z5" t="s">
        <v>33</v>
      </c>
      <c r="AA5" t="s">
        <v>34</v>
      </c>
      <c r="AB5" t="str">
        <f t="shared" si="4"/>
        <v>PD-XXX-60-B-CM-TA</v>
      </c>
      <c r="AC5" t="s">
        <v>773</v>
      </c>
      <c r="AD5" t="s">
        <v>774</v>
      </c>
      <c r="AF5" t="str">
        <f t="shared" si="5"/>
        <v>XXX-320-22</v>
      </c>
      <c r="AG5" s="5" t="str">
        <v>XXX-650-52</v>
      </c>
      <c r="AH5" s="4" t="str">
        <f t="shared" si="9"/>
        <v>XXX-650-3</v>
      </c>
      <c r="AI5" t="s">
        <v>775</v>
      </c>
      <c r="AJ5" s="5" t="str">
        <v>XXX-650-B-CM-TRS-52</v>
      </c>
      <c r="AK5" s="5" t="s">
        <v>776</v>
      </c>
      <c r="AL5" t="str">
        <f>AJ$2 &amp; "-JPL"</f>
        <v>XXX-650-B-CM-TRS-22-JPL</v>
      </c>
      <c r="AM5" s="5" t="str">
        <f t="shared" si="6"/>
        <v>PD-XXX-650-B-CM-TRS-52</v>
      </c>
      <c r="AN5" t="str">
        <f t="shared" si="7"/>
        <v>PD-XXX-650-B-CM-TRS-22-JPL</v>
      </c>
      <c r="AO5" t="str">
        <f t="shared" si="1"/>
        <v>JPL</v>
      </c>
      <c r="BB5" t="s">
        <v>777</v>
      </c>
      <c r="BC5" t="s">
        <v>769</v>
      </c>
      <c r="BD5" t="s">
        <v>770</v>
      </c>
      <c r="BE5" t="s">
        <v>751</v>
      </c>
    </row>
    <row r="6" spans="1:57" x14ac:dyDescent="0.25">
      <c r="A6" t="s">
        <v>778</v>
      </c>
      <c r="D6">
        <v>3600</v>
      </c>
      <c r="E6">
        <v>5000</v>
      </c>
      <c r="K6" t="str">
        <f t="shared" si="0"/>
        <v>E</v>
      </c>
      <c r="O6" t="str">
        <f t="shared" si="8"/>
        <v>80</v>
      </c>
      <c r="P6">
        <v>6796</v>
      </c>
      <c r="Q6">
        <v>6400</v>
      </c>
      <c r="T6" t="str">
        <f t="shared" si="3"/>
        <v>XXX-80 TOP ANGLE</v>
      </c>
      <c r="U6" t="s">
        <v>778</v>
      </c>
      <c r="V6" t="s">
        <v>31</v>
      </c>
      <c r="W6" t="s">
        <v>779</v>
      </c>
      <c r="X6" t="s">
        <v>779</v>
      </c>
      <c r="Y6" t="s">
        <v>38</v>
      </c>
      <c r="Z6" t="s">
        <v>33</v>
      </c>
      <c r="AA6" t="s">
        <v>34</v>
      </c>
      <c r="AB6" t="str">
        <f t="shared" si="4"/>
        <v>PD-XXX-80-B-CM-TA</v>
      </c>
      <c r="AC6" t="s">
        <v>780</v>
      </c>
      <c r="AD6" t="s">
        <v>781</v>
      </c>
      <c r="AF6" t="str">
        <f t="shared" si="5"/>
        <v>XXX-320-32</v>
      </c>
      <c r="AG6" s="5"/>
      <c r="AH6" s="4" t="str">
        <f t="shared" si="9"/>
        <v>XXX-650-4</v>
      </c>
      <c r="AI6" t="s">
        <v>782</v>
      </c>
      <c r="AJ6" s="5"/>
      <c r="AK6" s="5" t="s">
        <v>783</v>
      </c>
      <c r="AL6" t="str">
        <f>AJ$2 &amp; "-PRO"</f>
        <v>XXX-650-B-CM-TRS-22-PRO</v>
      </c>
      <c r="AM6" s="5" t="str">
        <f>IF(AJ6 &lt;&gt; "", "PD-" &amp; AJ6, "")</f>
        <v/>
      </c>
      <c r="AN6" t="str">
        <f t="shared" ref="AN6:AN7" si="10">"PD-" &amp; AL6</f>
        <v>PD-XXX-650-B-CM-TRS-22-PRO</v>
      </c>
      <c r="AO6" t="str">
        <f t="shared" si="1"/>
        <v>PRO</v>
      </c>
      <c r="BB6" t="s">
        <v>784</v>
      </c>
      <c r="BC6" t="s">
        <v>785</v>
      </c>
      <c r="BD6" t="s">
        <v>786</v>
      </c>
      <c r="BE6" t="s">
        <v>751</v>
      </c>
    </row>
    <row r="7" spans="1:57" ht="15.75" thickBot="1" x14ac:dyDescent="0.3">
      <c r="A7" t="s">
        <v>787</v>
      </c>
      <c r="D7">
        <v>2900</v>
      </c>
      <c r="E7">
        <v>5700</v>
      </c>
      <c r="K7" t="str">
        <f t="shared" si="0"/>
        <v>F</v>
      </c>
      <c r="O7" t="str">
        <f t="shared" si="8"/>
        <v>100</v>
      </c>
      <c r="P7">
        <v>7767</v>
      </c>
      <c r="Q7">
        <v>6400</v>
      </c>
      <c r="T7" t="str">
        <f t="shared" si="3"/>
        <v>XXX-100 TOP ANGLE</v>
      </c>
      <c r="U7" t="s">
        <v>787</v>
      </c>
      <c r="V7" t="s">
        <v>31</v>
      </c>
      <c r="W7" t="s">
        <v>788</v>
      </c>
      <c r="X7" t="s">
        <v>788</v>
      </c>
      <c r="Y7" t="s">
        <v>39</v>
      </c>
      <c r="Z7" t="s">
        <v>33</v>
      </c>
      <c r="AA7" t="s">
        <v>34</v>
      </c>
      <c r="AB7" t="str">
        <f t="shared" si="4"/>
        <v>PD-XXX-100-B-CM-TA</v>
      </c>
      <c r="AC7" t="s">
        <v>789</v>
      </c>
      <c r="AD7" t="s">
        <v>790</v>
      </c>
      <c r="AF7" t="str">
        <f t="shared" si="5"/>
        <v>XXX-360-1</v>
      </c>
      <c r="AG7" s="5"/>
      <c r="AH7" s="4" t="str">
        <f t="shared" si="9"/>
        <v>XXX-650-5</v>
      </c>
      <c r="AI7" t="s">
        <v>791</v>
      </c>
      <c r="AJ7" s="5"/>
      <c r="AK7" s="5" t="s">
        <v>792</v>
      </c>
      <c r="AL7" t="str">
        <f>AJ$2 &amp; "-TC"</f>
        <v>XXX-650-B-CM-TRS-22-TC</v>
      </c>
      <c r="AM7" s="5" t="str">
        <f t="shared" si="6"/>
        <v/>
      </c>
      <c r="AN7" t="str">
        <f t="shared" si="10"/>
        <v>PD-XXX-650-B-CM-TRS-22-TC</v>
      </c>
      <c r="AO7" t="str">
        <f t="shared" si="1"/>
        <v>TC</v>
      </c>
      <c r="BB7" t="s">
        <v>793</v>
      </c>
      <c r="BC7" t="s">
        <v>785</v>
      </c>
      <c r="BD7" t="s">
        <v>786</v>
      </c>
      <c r="BE7" t="s">
        <v>751</v>
      </c>
    </row>
    <row r="8" spans="1:57" ht="15.75" thickBot="1" x14ac:dyDescent="0.3">
      <c r="A8" t="s">
        <v>794</v>
      </c>
      <c r="D8">
        <v>2200</v>
      </c>
      <c r="E8" s="2">
        <v>6400</v>
      </c>
      <c r="K8" t="str">
        <f t="shared" si="0"/>
        <v>G</v>
      </c>
      <c r="O8" t="str">
        <f t="shared" si="8"/>
        <v>130</v>
      </c>
      <c r="P8">
        <v>8738</v>
      </c>
      <c r="Q8">
        <v>6400</v>
      </c>
      <c r="T8" t="str">
        <f t="shared" si="3"/>
        <v>XXX-130 TOP ANGLE</v>
      </c>
      <c r="U8" t="s">
        <v>794</v>
      </c>
      <c r="V8" t="s">
        <v>31</v>
      </c>
      <c r="W8" t="s">
        <v>795</v>
      </c>
      <c r="X8" t="s">
        <v>795</v>
      </c>
      <c r="Y8" t="s">
        <v>40</v>
      </c>
      <c r="Z8" t="s">
        <v>33</v>
      </c>
      <c r="AA8" t="s">
        <v>34</v>
      </c>
      <c r="AB8" t="str">
        <f t="shared" si="4"/>
        <v>PD-XXX-130-B-CM-TA</v>
      </c>
      <c r="AC8" t="s">
        <v>796</v>
      </c>
      <c r="AD8" t="s">
        <v>797</v>
      </c>
      <c r="AF8" t="str">
        <f t="shared" si="5"/>
        <v>XXX-360-2</v>
      </c>
      <c r="AG8" s="5"/>
      <c r="AH8" s="4" t="str">
        <f t="shared" si="9"/>
        <v/>
      </c>
      <c r="AI8" t="s">
        <v>798</v>
      </c>
      <c r="AJ8" s="5"/>
      <c r="AK8" s="5"/>
      <c r="AM8" s="5" t="str">
        <f t="shared" si="6"/>
        <v/>
      </c>
    </row>
    <row r="9" spans="1:57" x14ac:dyDescent="0.25">
      <c r="A9" t="s">
        <v>799</v>
      </c>
      <c r="K9" t="str">
        <f t="shared" si="0"/>
        <v>H</v>
      </c>
      <c r="O9" t="str">
        <f t="shared" si="8"/>
        <v>160</v>
      </c>
      <c r="P9">
        <v>9709</v>
      </c>
      <c r="Q9">
        <v>6400</v>
      </c>
      <c r="T9" t="str">
        <f t="shared" si="3"/>
        <v>XXX-160 TOP ANGLE</v>
      </c>
      <c r="U9" t="s">
        <v>799</v>
      </c>
      <c r="V9" t="s">
        <v>31</v>
      </c>
      <c r="W9" t="s">
        <v>800</v>
      </c>
      <c r="X9" t="s">
        <v>800</v>
      </c>
      <c r="Y9" t="s">
        <v>41</v>
      </c>
      <c r="Z9" t="s">
        <v>33</v>
      </c>
      <c r="AA9" t="s">
        <v>34</v>
      </c>
      <c r="AB9" t="str">
        <f t="shared" si="4"/>
        <v>PD-XXX-160-B-CM-TA</v>
      </c>
      <c r="AC9" t="s">
        <v>801</v>
      </c>
      <c r="AD9" t="s">
        <v>802</v>
      </c>
      <c r="AF9" t="str">
        <f t="shared" si="5"/>
        <v>XXX-360-3</v>
      </c>
      <c r="AG9" s="5"/>
      <c r="AH9" s="4" t="str">
        <f t="shared" si="9"/>
        <v/>
      </c>
      <c r="AI9" t="s">
        <v>803</v>
      </c>
      <c r="AJ9" s="5"/>
      <c r="AK9" s="5"/>
      <c r="AM9" s="5" t="str">
        <f t="shared" si="6"/>
        <v/>
      </c>
    </row>
    <row r="10" spans="1:57" x14ac:dyDescent="0.25">
      <c r="A10" t="s">
        <v>804</v>
      </c>
      <c r="K10" t="str">
        <f t="shared" si="0"/>
        <v>I</v>
      </c>
      <c r="N10" s="1">
        <v>60</v>
      </c>
      <c r="O10" t="str">
        <f t="shared" si="8"/>
        <v>200</v>
      </c>
      <c r="P10">
        <v>10680</v>
      </c>
      <c r="Q10">
        <v>6400</v>
      </c>
      <c r="T10" t="str">
        <f t="shared" si="3"/>
        <v>XXX-200 TOP ANGLE</v>
      </c>
      <c r="U10" t="s">
        <v>804</v>
      </c>
      <c r="V10" t="s">
        <v>31</v>
      </c>
      <c r="W10" t="s">
        <v>805</v>
      </c>
      <c r="X10" t="s">
        <v>805</v>
      </c>
      <c r="Y10" t="s">
        <v>42</v>
      </c>
      <c r="Z10" t="s">
        <v>33</v>
      </c>
      <c r="AA10" t="s">
        <v>34</v>
      </c>
      <c r="AB10" t="str">
        <f t="shared" si="4"/>
        <v>PD-XXX-200-B-CM-TA</v>
      </c>
      <c r="AC10" t="s">
        <v>806</v>
      </c>
      <c r="AD10" t="s">
        <v>807</v>
      </c>
      <c r="AF10" t="str">
        <f t="shared" si="5"/>
        <v>XXX-360-4</v>
      </c>
      <c r="AG10" s="5"/>
      <c r="AH10" s="4" t="str">
        <f t="shared" si="9"/>
        <v/>
      </c>
      <c r="AI10" t="s">
        <v>808</v>
      </c>
      <c r="AJ10" s="5"/>
      <c r="AK10" s="5"/>
      <c r="AM10" s="5" t="str">
        <f t="shared" si="6"/>
        <v/>
      </c>
    </row>
    <row r="11" spans="1:57" x14ac:dyDescent="0.25">
      <c r="A11" t="s">
        <v>809</v>
      </c>
      <c r="K11" t="str">
        <f t="shared" si="0"/>
        <v>J</v>
      </c>
      <c r="O11" t="str">
        <f t="shared" si="8"/>
        <v>230</v>
      </c>
      <c r="P11">
        <v>11651</v>
      </c>
      <c r="Q11">
        <v>6400</v>
      </c>
      <c r="T11" t="str">
        <f t="shared" si="3"/>
        <v>XXX-230 TOP ANGLE</v>
      </c>
      <c r="U11" t="s">
        <v>809</v>
      </c>
      <c r="V11" t="s">
        <v>31</v>
      </c>
      <c r="W11" t="s">
        <v>810</v>
      </c>
      <c r="X11" t="s">
        <v>810</v>
      </c>
      <c r="Y11" t="s">
        <v>43</v>
      </c>
      <c r="Z11" t="s">
        <v>33</v>
      </c>
      <c r="AA11" t="s">
        <v>34</v>
      </c>
      <c r="AB11" t="str">
        <f t="shared" si="4"/>
        <v>PD-XXX-230-B-CM-TA</v>
      </c>
      <c r="AC11" t="s">
        <v>811</v>
      </c>
      <c r="AD11" t="s">
        <v>812</v>
      </c>
      <c r="AF11" t="str">
        <f t="shared" si="5"/>
        <v>XXX-360-22</v>
      </c>
      <c r="AG11" s="5"/>
      <c r="AH11" s="4" t="str">
        <f t="shared" si="9"/>
        <v/>
      </c>
      <c r="AI11" t="s">
        <v>813</v>
      </c>
      <c r="AJ11" s="5"/>
      <c r="AK11" s="5"/>
      <c r="AM11" s="5" t="str">
        <f t="shared" si="6"/>
        <v/>
      </c>
    </row>
    <row r="12" spans="1:57" x14ac:dyDescent="0.25">
      <c r="A12" t="s">
        <v>814</v>
      </c>
      <c r="K12" t="str">
        <f t="shared" si="0"/>
        <v>K</v>
      </c>
      <c r="O12" t="str">
        <f t="shared" si="8"/>
        <v>275</v>
      </c>
      <c r="P12">
        <v>12621</v>
      </c>
      <c r="Q12">
        <v>6400</v>
      </c>
      <c r="T12" t="str">
        <f t="shared" si="3"/>
        <v>XXX-275 TOP ANGLE</v>
      </c>
      <c r="U12" t="s">
        <v>814</v>
      </c>
      <c r="V12" t="s">
        <v>31</v>
      </c>
      <c r="W12" t="s">
        <v>815</v>
      </c>
      <c r="X12" t="s">
        <v>815</v>
      </c>
      <c r="Y12" t="s">
        <v>44</v>
      </c>
      <c r="Z12" t="s">
        <v>33</v>
      </c>
      <c r="AA12" t="s">
        <v>34</v>
      </c>
      <c r="AB12" t="str">
        <f t="shared" si="4"/>
        <v>PD-XXX-275-B-CM-TA</v>
      </c>
      <c r="AC12" t="s">
        <v>816</v>
      </c>
      <c r="AD12" t="s">
        <v>817</v>
      </c>
      <c r="AF12" t="str">
        <f t="shared" si="5"/>
        <v>XXX-360-32</v>
      </c>
      <c r="AG12" s="5"/>
      <c r="AH12" s="4" t="str">
        <f t="shared" si="9"/>
        <v/>
      </c>
      <c r="AI12" t="s">
        <v>818</v>
      </c>
      <c r="AJ12" s="5"/>
      <c r="AK12" s="5"/>
      <c r="AM12" s="5" t="str">
        <f t="shared" si="6"/>
        <v/>
      </c>
    </row>
    <row r="13" spans="1:57" x14ac:dyDescent="0.25">
      <c r="A13" t="s">
        <v>819</v>
      </c>
      <c r="K13" t="str">
        <f t="shared" si="0"/>
        <v>L</v>
      </c>
      <c r="O13" t="str">
        <f t="shared" si="8"/>
        <v>320</v>
      </c>
      <c r="P13">
        <v>13592</v>
      </c>
      <c r="Q13">
        <v>6400</v>
      </c>
      <c r="T13" t="str">
        <f t="shared" si="3"/>
        <v>XXX-320 TOP ANGLE</v>
      </c>
      <c r="U13" t="s">
        <v>819</v>
      </c>
      <c r="V13" t="s">
        <v>31</v>
      </c>
      <c r="W13" s="3" t="s">
        <v>820</v>
      </c>
      <c r="X13" t="s">
        <v>820</v>
      </c>
      <c r="Y13" t="s">
        <v>45</v>
      </c>
      <c r="Z13" t="s">
        <v>33</v>
      </c>
      <c r="AA13" t="s">
        <v>34</v>
      </c>
      <c r="AB13" t="str">
        <f t="shared" si="4"/>
        <v>PD-XXX-320-B-CM-TA</v>
      </c>
      <c r="AC13" t="s">
        <v>821</v>
      </c>
      <c r="AD13" t="s">
        <v>822</v>
      </c>
      <c r="AF13" t="str">
        <f t="shared" si="5"/>
        <v>XXX-360-42</v>
      </c>
      <c r="AI13" t="s">
        <v>823</v>
      </c>
      <c r="AM13" s="5" t="str">
        <f t="shared" si="6"/>
        <v/>
      </c>
    </row>
    <row r="14" spans="1:57" x14ac:dyDescent="0.25">
      <c r="A14" t="s">
        <v>824</v>
      </c>
      <c r="K14" t="str">
        <f t="shared" si="0"/>
        <v>M</v>
      </c>
      <c r="O14" t="str">
        <f t="shared" si="8"/>
        <v>360</v>
      </c>
      <c r="P14">
        <v>14563</v>
      </c>
      <c r="Q14">
        <v>6400</v>
      </c>
      <c r="T14" t="str">
        <f t="shared" si="3"/>
        <v>XXX-360 TOP ANGLE</v>
      </c>
      <c r="U14" t="s">
        <v>824</v>
      </c>
      <c r="V14" t="s">
        <v>31</v>
      </c>
      <c r="W14" s="3" t="s">
        <v>825</v>
      </c>
      <c r="X14" t="s">
        <v>825</v>
      </c>
      <c r="Y14" t="s">
        <v>46</v>
      </c>
      <c r="Z14" t="s">
        <v>33</v>
      </c>
      <c r="AA14" t="s">
        <v>34</v>
      </c>
      <c r="AB14" t="str">
        <f t="shared" si="4"/>
        <v>PD-XXX-360-B-CM-TA</v>
      </c>
      <c r="AC14" t="s">
        <v>826</v>
      </c>
      <c r="AD14" t="s">
        <v>827</v>
      </c>
      <c r="AF14" t="str">
        <f t="shared" si="5"/>
        <v>XXX-420-1</v>
      </c>
      <c r="AI14" t="s">
        <v>828</v>
      </c>
      <c r="AM14" s="5" t="str">
        <f t="shared" si="6"/>
        <v/>
      </c>
    </row>
    <row r="15" spans="1:57" x14ac:dyDescent="0.25">
      <c r="A15" t="s">
        <v>829</v>
      </c>
      <c r="K15" t="str">
        <f t="shared" si="0"/>
        <v>N</v>
      </c>
      <c r="O15" t="str">
        <f t="shared" si="8"/>
        <v>420</v>
      </c>
      <c r="P15">
        <v>15534</v>
      </c>
      <c r="Q15">
        <v>6400</v>
      </c>
      <c r="T15" t="str">
        <f t="shared" si="3"/>
        <v>XXX-420 TOP ANGLE</v>
      </c>
      <c r="U15" t="s">
        <v>829</v>
      </c>
      <c r="V15" t="s">
        <v>31</v>
      </c>
      <c r="W15" s="3" t="s">
        <v>830</v>
      </c>
      <c r="X15" t="s">
        <v>830</v>
      </c>
      <c r="Y15" t="s">
        <v>47</v>
      </c>
      <c r="Z15" t="s">
        <v>33</v>
      </c>
      <c r="AA15" t="s">
        <v>34</v>
      </c>
      <c r="AB15" t="str">
        <f t="shared" si="4"/>
        <v>PD-XXX-420-B-CM-TA</v>
      </c>
      <c r="AC15" t="s">
        <v>831</v>
      </c>
      <c r="AD15" t="s">
        <v>832</v>
      </c>
      <c r="AF15" t="str">
        <f t="shared" si="5"/>
        <v>XXX-420-2</v>
      </c>
      <c r="AI15" t="s">
        <v>833</v>
      </c>
      <c r="AM15" s="5" t="str">
        <f t="shared" si="6"/>
        <v/>
      </c>
    </row>
    <row r="16" spans="1:57" x14ac:dyDescent="0.25">
      <c r="A16" t="s">
        <v>834</v>
      </c>
      <c r="K16" t="s">
        <v>48</v>
      </c>
      <c r="O16" t="str">
        <f t="shared" si="8"/>
        <v>470</v>
      </c>
      <c r="P16">
        <v>16505</v>
      </c>
      <c r="Q16">
        <v>6400</v>
      </c>
      <c r="T16" t="str">
        <f t="shared" si="3"/>
        <v>XXX-470 TOP ANGLE</v>
      </c>
      <c r="U16" t="s">
        <v>834</v>
      </c>
      <c r="V16" t="s">
        <v>31</v>
      </c>
      <c r="W16" s="3" t="s">
        <v>835</v>
      </c>
      <c r="X16" t="s">
        <v>835</v>
      </c>
      <c r="Y16" t="s">
        <v>49</v>
      </c>
      <c r="Z16" t="s">
        <v>33</v>
      </c>
      <c r="AA16" t="s">
        <v>34</v>
      </c>
      <c r="AB16" t="str">
        <f t="shared" si="4"/>
        <v>PD-XXX-470-B-CM-TA</v>
      </c>
      <c r="AC16" t="s">
        <v>836</v>
      </c>
      <c r="AD16" t="s">
        <v>837</v>
      </c>
      <c r="AF16" t="str">
        <f t="shared" si="5"/>
        <v>XXX-420-3</v>
      </c>
      <c r="AI16" t="s">
        <v>838</v>
      </c>
      <c r="AM16" s="5" t="str">
        <f t="shared" si="6"/>
        <v/>
      </c>
    </row>
    <row r="17" spans="1:39" x14ac:dyDescent="0.25">
      <c r="A17" t="s">
        <v>839</v>
      </c>
      <c r="K17" t="s">
        <v>50</v>
      </c>
      <c r="O17" t="str">
        <f t="shared" si="8"/>
        <v>530</v>
      </c>
      <c r="P17">
        <v>17476</v>
      </c>
      <c r="Q17">
        <v>6400</v>
      </c>
      <c r="T17" t="str">
        <f t="shared" si="3"/>
        <v>XXX-530 TOP ANGLE</v>
      </c>
      <c r="U17" t="s">
        <v>839</v>
      </c>
      <c r="V17" t="s">
        <v>31</v>
      </c>
      <c r="W17" s="3" t="s">
        <v>840</v>
      </c>
      <c r="X17" t="s">
        <v>840</v>
      </c>
      <c r="Y17" t="s">
        <v>51</v>
      </c>
      <c r="Z17" t="s">
        <v>33</v>
      </c>
      <c r="AA17" t="s">
        <v>34</v>
      </c>
      <c r="AB17" t="str">
        <f t="shared" si="4"/>
        <v>PD-XXX-530-B-CM-TA</v>
      </c>
      <c r="AC17" t="s">
        <v>841</v>
      </c>
      <c r="AD17" t="s">
        <v>842</v>
      </c>
      <c r="AF17" t="str">
        <f t="shared" si="5"/>
        <v>XXX-420-4</v>
      </c>
      <c r="AI17" t="s">
        <v>843</v>
      </c>
      <c r="AM17" s="5" t="str">
        <f t="shared" si="6"/>
        <v/>
      </c>
    </row>
    <row r="18" spans="1:39" x14ac:dyDescent="0.25">
      <c r="A18" t="s">
        <v>844</v>
      </c>
      <c r="K18" t="s">
        <v>52</v>
      </c>
      <c r="O18" t="str">
        <f t="shared" si="8"/>
        <v>590</v>
      </c>
      <c r="P18">
        <v>18447</v>
      </c>
      <c r="Q18">
        <v>6400</v>
      </c>
      <c r="T18" t="str">
        <f t="shared" si="3"/>
        <v>XXX-590 TOP ANGLE</v>
      </c>
      <c r="U18" t="s">
        <v>844</v>
      </c>
      <c r="V18" t="s">
        <v>31</v>
      </c>
      <c r="W18" s="3" t="s">
        <v>845</v>
      </c>
      <c r="X18" t="s">
        <v>845</v>
      </c>
      <c r="Y18" t="s">
        <v>53</v>
      </c>
      <c r="Z18" t="s">
        <v>33</v>
      </c>
      <c r="AA18" t="s">
        <v>34</v>
      </c>
      <c r="AB18" t="str">
        <f t="shared" si="4"/>
        <v>PD-XXX-590-B-CM-TA</v>
      </c>
      <c r="AC18" t="s">
        <v>846</v>
      </c>
      <c r="AD18" t="s">
        <v>847</v>
      </c>
      <c r="AF18" t="str">
        <f t="shared" si="5"/>
        <v>XXX-420-22</v>
      </c>
      <c r="AI18" t="s">
        <v>848</v>
      </c>
      <c r="AM18" s="5" t="str">
        <f t="shared" si="6"/>
        <v/>
      </c>
    </row>
    <row r="19" spans="1:39" x14ac:dyDescent="0.25">
      <c r="A19" t="s">
        <v>849</v>
      </c>
      <c r="K19" t="s">
        <v>54</v>
      </c>
      <c r="O19" t="str">
        <f t="shared" si="8"/>
        <v>650</v>
      </c>
      <c r="P19">
        <v>19417</v>
      </c>
      <c r="Q19">
        <v>6400</v>
      </c>
      <c r="T19" t="str">
        <f t="shared" si="3"/>
        <v>XXX-650 TOP ANGLE</v>
      </c>
      <c r="U19" t="s">
        <v>849</v>
      </c>
      <c r="V19" t="s">
        <v>31</v>
      </c>
      <c r="W19" t="s">
        <v>850</v>
      </c>
      <c r="X19" t="s">
        <v>850</v>
      </c>
      <c r="Y19" t="s">
        <v>55</v>
      </c>
      <c r="Z19" t="s">
        <v>33</v>
      </c>
      <c r="AA19" t="s">
        <v>56</v>
      </c>
      <c r="AB19" t="str">
        <f t="shared" si="4"/>
        <v>PD-XXX-650-B-EX-TA</v>
      </c>
      <c r="AC19" t="s">
        <v>851</v>
      </c>
      <c r="AD19" t="s">
        <v>852</v>
      </c>
      <c r="AF19" t="str">
        <f t="shared" si="5"/>
        <v>XXX-420-32</v>
      </c>
      <c r="AI19" t="s">
        <v>853</v>
      </c>
      <c r="AM19" s="5" t="str">
        <f t="shared" si="6"/>
        <v/>
      </c>
    </row>
    <row r="20" spans="1:39" x14ac:dyDescent="0.25">
      <c r="A20" t="s">
        <v>854</v>
      </c>
      <c r="K20" t="s">
        <v>57</v>
      </c>
      <c r="O20" t="str">
        <f t="shared" si="8"/>
        <v>720</v>
      </c>
      <c r="P20">
        <v>20388</v>
      </c>
      <c r="Q20">
        <v>6400</v>
      </c>
      <c r="T20" t="str">
        <f t="shared" si="3"/>
        <v>XXX-720 TOP ANGLE</v>
      </c>
      <c r="U20" t="s">
        <v>854</v>
      </c>
      <c r="V20" t="s">
        <v>31</v>
      </c>
      <c r="W20" t="s">
        <v>855</v>
      </c>
      <c r="X20" t="s">
        <v>855</v>
      </c>
      <c r="Y20" t="s">
        <v>58</v>
      </c>
      <c r="Z20" t="s">
        <v>33</v>
      </c>
      <c r="AA20" t="s">
        <v>56</v>
      </c>
      <c r="AB20" t="str">
        <f t="shared" si="4"/>
        <v>PD-XXX-720-B-EX-TA</v>
      </c>
      <c r="AC20" t="s">
        <v>856</v>
      </c>
      <c r="AD20" t="s">
        <v>857</v>
      </c>
      <c r="AF20" t="str">
        <f t="shared" si="5"/>
        <v>XXX-420-42</v>
      </c>
      <c r="AI20" t="s">
        <v>858</v>
      </c>
      <c r="AM20" s="5" t="str">
        <f t="shared" si="6"/>
        <v/>
      </c>
    </row>
    <row r="21" spans="1:39" x14ac:dyDescent="0.25">
      <c r="A21" t="s">
        <v>859</v>
      </c>
      <c r="K21" t="s">
        <v>59</v>
      </c>
      <c r="O21" t="str">
        <f t="shared" si="8"/>
        <v>790</v>
      </c>
      <c r="P21">
        <v>21359</v>
      </c>
      <c r="Q21">
        <v>6400</v>
      </c>
      <c r="T21" t="str">
        <f t="shared" si="3"/>
        <v>XXX-790 TOP ANGLE</v>
      </c>
      <c r="U21" t="s">
        <v>859</v>
      </c>
      <c r="V21" t="s">
        <v>31</v>
      </c>
      <c r="W21" t="s">
        <v>860</v>
      </c>
      <c r="X21" t="s">
        <v>860</v>
      </c>
      <c r="Y21" t="s">
        <v>60</v>
      </c>
      <c r="Z21" t="s">
        <v>33</v>
      </c>
      <c r="AA21" t="s">
        <v>56</v>
      </c>
      <c r="AB21" t="str">
        <f t="shared" si="4"/>
        <v>PD-XXX-790-B-EX-TA</v>
      </c>
      <c r="AC21" t="s">
        <v>861</v>
      </c>
      <c r="AD21" t="s">
        <v>862</v>
      </c>
      <c r="AF21" t="str">
        <f t="shared" si="5"/>
        <v>XXX-470-1</v>
      </c>
      <c r="AI21" t="s">
        <v>863</v>
      </c>
      <c r="AM21" s="5" t="str">
        <f t="shared" si="6"/>
        <v/>
      </c>
    </row>
    <row r="22" spans="1:39" x14ac:dyDescent="0.25">
      <c r="A22" t="s">
        <v>864</v>
      </c>
      <c r="K22" t="s">
        <v>61</v>
      </c>
      <c r="O22" t="str">
        <f t="shared" si="8"/>
        <v>860</v>
      </c>
      <c r="P22">
        <v>22330</v>
      </c>
      <c r="Q22">
        <v>6400</v>
      </c>
      <c r="T22" t="str">
        <f t="shared" si="3"/>
        <v>XXX-860 TOP ANGLE</v>
      </c>
      <c r="U22" t="s">
        <v>864</v>
      </c>
      <c r="V22" t="s">
        <v>31</v>
      </c>
      <c r="W22" t="s">
        <v>865</v>
      </c>
      <c r="X22" t="s">
        <v>865</v>
      </c>
      <c r="Y22" t="s">
        <v>62</v>
      </c>
      <c r="Z22" t="s">
        <v>33</v>
      </c>
      <c r="AA22" t="s">
        <v>56</v>
      </c>
      <c r="AB22" t="str">
        <f t="shared" si="4"/>
        <v>PD-XXX-860-B-EX-TA</v>
      </c>
      <c r="AC22" t="s">
        <v>866</v>
      </c>
      <c r="AD22" t="s">
        <v>867</v>
      </c>
      <c r="AF22" t="str">
        <f t="shared" si="5"/>
        <v>XXX-470-2</v>
      </c>
      <c r="AI22" t="s">
        <v>868</v>
      </c>
      <c r="AM22" s="5" t="str">
        <f t="shared" si="6"/>
        <v/>
      </c>
    </row>
    <row r="23" spans="1:39" x14ac:dyDescent="0.25">
      <c r="A23" t="s">
        <v>869</v>
      </c>
      <c r="K23" t="s">
        <v>63</v>
      </c>
      <c r="O23" t="str">
        <f t="shared" si="8"/>
        <v>940</v>
      </c>
      <c r="P23">
        <v>23301</v>
      </c>
      <c r="Q23">
        <v>6400</v>
      </c>
      <c r="T23" t="str">
        <f t="shared" si="3"/>
        <v>XXX-940 TOP ANGLE</v>
      </c>
      <c r="U23" t="s">
        <v>869</v>
      </c>
      <c r="V23" t="s">
        <v>31</v>
      </c>
      <c r="W23" t="s">
        <v>870</v>
      </c>
      <c r="X23" t="s">
        <v>870</v>
      </c>
      <c r="Y23" t="s">
        <v>64</v>
      </c>
      <c r="Z23" t="s">
        <v>33</v>
      </c>
      <c r="AA23" t="s">
        <v>56</v>
      </c>
      <c r="AB23" t="str">
        <f t="shared" si="4"/>
        <v>PD-XXX-940-B-EX-TA</v>
      </c>
      <c r="AC23" t="s">
        <v>871</v>
      </c>
      <c r="AD23" t="s">
        <v>872</v>
      </c>
      <c r="AF23" t="str">
        <f t="shared" si="5"/>
        <v>XXX-470-3</v>
      </c>
      <c r="AI23" t="s">
        <v>873</v>
      </c>
      <c r="AM23" s="5" t="str">
        <f t="shared" si="6"/>
        <v/>
      </c>
    </row>
    <row r="24" spans="1:39" x14ac:dyDescent="0.25">
      <c r="A24" t="s">
        <v>874</v>
      </c>
      <c r="K24" t="s">
        <v>65</v>
      </c>
      <c r="O24" t="str">
        <f t="shared" si="8"/>
        <v>1010</v>
      </c>
      <c r="P24">
        <v>24272</v>
      </c>
      <c r="Q24">
        <v>6400</v>
      </c>
      <c r="T24" t="str">
        <f t="shared" si="3"/>
        <v>XXX-1010 TOP ANGLE</v>
      </c>
      <c r="U24" t="s">
        <v>874</v>
      </c>
      <c r="V24" t="s">
        <v>31</v>
      </c>
      <c r="W24" t="s">
        <v>875</v>
      </c>
      <c r="X24" t="s">
        <v>875</v>
      </c>
      <c r="Y24" t="s">
        <v>66</v>
      </c>
      <c r="Z24" t="s">
        <v>33</v>
      </c>
      <c r="AA24" t="s">
        <v>56</v>
      </c>
      <c r="AB24" t="str">
        <f t="shared" si="4"/>
        <v>PD-XXX-1010-B-EX-TA</v>
      </c>
      <c r="AC24" t="s">
        <v>876</v>
      </c>
      <c r="AD24" t="s">
        <v>877</v>
      </c>
      <c r="AF24" t="str">
        <f t="shared" si="5"/>
        <v>XXX-470-4</v>
      </c>
      <c r="AI24" t="s">
        <v>878</v>
      </c>
      <c r="AM24" s="5" t="str">
        <f t="shared" si="6"/>
        <v/>
      </c>
    </row>
    <row r="25" spans="1:39" x14ac:dyDescent="0.25">
      <c r="A25" t="s">
        <v>879</v>
      </c>
      <c r="K25" t="s">
        <v>67</v>
      </c>
      <c r="O25" t="str">
        <f t="shared" si="8"/>
        <v>1180</v>
      </c>
      <c r="P25">
        <v>25242</v>
      </c>
      <c r="Q25">
        <v>6400</v>
      </c>
      <c r="T25" t="str">
        <f t="shared" si="3"/>
        <v>XXX-1180 TOP ANGLE</v>
      </c>
      <c r="U25" t="s">
        <v>879</v>
      </c>
      <c r="V25" t="s">
        <v>31</v>
      </c>
      <c r="W25" t="s">
        <v>880</v>
      </c>
      <c r="X25" t="s">
        <v>880</v>
      </c>
      <c r="Y25" t="s">
        <v>68</v>
      </c>
      <c r="Z25" t="s">
        <v>33</v>
      </c>
      <c r="AA25" t="s">
        <v>56</v>
      </c>
      <c r="AB25" t="str">
        <f t="shared" si="4"/>
        <v>PD-XXX-1180-B-EX-TA</v>
      </c>
      <c r="AC25" t="s">
        <v>881</v>
      </c>
      <c r="AD25" t="s">
        <v>882</v>
      </c>
      <c r="AF25" t="str">
        <f t="shared" si="5"/>
        <v>XXX-470-22</v>
      </c>
      <c r="AI25" t="s">
        <v>883</v>
      </c>
      <c r="AM25" s="5" t="str">
        <f t="shared" si="6"/>
        <v/>
      </c>
    </row>
    <row r="26" spans="1:39" x14ac:dyDescent="0.25">
      <c r="K26" t="s">
        <v>69</v>
      </c>
      <c r="AF26" t="str">
        <f t="shared" si="5"/>
        <v>XXX-470-32</v>
      </c>
      <c r="AG26" s="6" t="str">
        <f>TRIM(LEFT(SUBSTITUTE(AG2,"-",REPT(" ",LEN(AG2)),2),LEN(AG2)))</f>
        <v>XXX-650</v>
      </c>
      <c r="AI26" t="s">
        <v>884</v>
      </c>
      <c r="AJ26" s="6" t="str">
        <f>TRIM(LEFT(SUBSTITUTE(AJ2,"-",REPT(" ",LEN(AJ2)),2),LEN(AJ2)))</f>
        <v>XXX-650</v>
      </c>
    </row>
    <row r="27" spans="1:39" x14ac:dyDescent="0.25">
      <c r="K27" t="s">
        <v>70</v>
      </c>
      <c r="AF27" t="str">
        <f t="shared" si="5"/>
        <v>XXX-470-42</v>
      </c>
      <c r="AI27" t="s">
        <v>885</v>
      </c>
    </row>
    <row r="28" spans="1:39" x14ac:dyDescent="0.25">
      <c r="K28" t="s">
        <v>71</v>
      </c>
      <c r="AF28" t="str">
        <f t="shared" si="5"/>
        <v>XXX-530-1</v>
      </c>
      <c r="AI28" t="s">
        <v>886</v>
      </c>
    </row>
    <row r="29" spans="1:39" x14ac:dyDescent="0.25">
      <c r="K29" t="s">
        <v>72</v>
      </c>
      <c r="AF29" t="str">
        <f t="shared" si="5"/>
        <v>XXX-530-2</v>
      </c>
      <c r="AI29" t="s">
        <v>887</v>
      </c>
    </row>
    <row r="30" spans="1:39" x14ac:dyDescent="0.25">
      <c r="K30" t="s">
        <v>73</v>
      </c>
      <c r="AF30" t="str">
        <f t="shared" si="5"/>
        <v>XXX-530-3</v>
      </c>
      <c r="AI30" t="s">
        <v>888</v>
      </c>
    </row>
    <row r="31" spans="1:39" x14ac:dyDescent="0.25">
      <c r="K31" t="s">
        <v>74</v>
      </c>
      <c r="AF31" t="str">
        <f t="shared" si="5"/>
        <v>XXX-530-4</v>
      </c>
      <c r="AI31" t="s">
        <v>889</v>
      </c>
    </row>
    <row r="32" spans="1:39" x14ac:dyDescent="0.25">
      <c r="K32" t="s">
        <v>75</v>
      </c>
      <c r="AF32" t="str">
        <f t="shared" si="5"/>
        <v>XXX-530-22</v>
      </c>
      <c r="AI32" t="s">
        <v>890</v>
      </c>
    </row>
    <row r="33" spans="11:41" x14ac:dyDescent="0.25">
      <c r="K33" t="s">
        <v>76</v>
      </c>
      <c r="AF33" t="str">
        <f t="shared" si="5"/>
        <v>XXX-530-32</v>
      </c>
      <c r="AI33" t="s">
        <v>891</v>
      </c>
    </row>
    <row r="34" spans="11:41" x14ac:dyDescent="0.25">
      <c r="K34" t="s">
        <v>77</v>
      </c>
      <c r="AF34" t="str">
        <f t="shared" si="5"/>
        <v>XXX-530-42</v>
      </c>
      <c r="AI34" t="s">
        <v>892</v>
      </c>
    </row>
    <row r="35" spans="11:41" x14ac:dyDescent="0.25">
      <c r="K35" t="s">
        <v>78</v>
      </c>
      <c r="AF35" t="str">
        <f t="shared" si="5"/>
        <v>XXX-590-1</v>
      </c>
      <c r="AI35" t="s">
        <v>893</v>
      </c>
      <c r="AM35" t="str">
        <f t="shared" si="6"/>
        <v/>
      </c>
    </row>
    <row r="36" spans="11:41" x14ac:dyDescent="0.25">
      <c r="K36" t="s">
        <v>79</v>
      </c>
      <c r="AF36" t="str">
        <f t="shared" si="5"/>
        <v>XXX-590-2</v>
      </c>
      <c r="AI36" t="s">
        <v>894</v>
      </c>
      <c r="AM36" t="str">
        <f t="shared" si="6"/>
        <v/>
      </c>
    </row>
    <row r="37" spans="11:41" x14ac:dyDescent="0.25">
      <c r="K37" t="s">
        <v>80</v>
      </c>
      <c r="AF37" t="str">
        <f t="shared" si="5"/>
        <v>XXX-590-3</v>
      </c>
      <c r="AI37" t="s">
        <v>895</v>
      </c>
      <c r="AM37" t="str">
        <f t="shared" si="6"/>
        <v/>
      </c>
    </row>
    <row r="38" spans="11:41" x14ac:dyDescent="0.25">
      <c r="K38" t="s">
        <v>81</v>
      </c>
      <c r="AF38" t="str">
        <f t="shared" si="5"/>
        <v>XXX-590-4</v>
      </c>
      <c r="AI38" t="s">
        <v>896</v>
      </c>
      <c r="AM38" t="str">
        <f t="shared" si="6"/>
        <v/>
      </c>
    </row>
    <row r="39" spans="11:41" x14ac:dyDescent="0.25">
      <c r="K39" t="s">
        <v>82</v>
      </c>
      <c r="AF39" t="str">
        <f t="shared" si="5"/>
        <v>XXX-590-5</v>
      </c>
      <c r="AI39" t="s">
        <v>897</v>
      </c>
    </row>
    <row r="40" spans="11:41" x14ac:dyDescent="0.25">
      <c r="K40" t="s">
        <v>83</v>
      </c>
      <c r="AF40" t="str">
        <f t="shared" si="5"/>
        <v>XXX-590-22</v>
      </c>
      <c r="AI40" t="s">
        <v>898</v>
      </c>
    </row>
    <row r="41" spans="11:41" x14ac:dyDescent="0.25">
      <c r="K41" t="s">
        <v>84</v>
      </c>
      <c r="AF41" t="str">
        <f t="shared" si="5"/>
        <v>XXX-590-32</v>
      </c>
      <c r="AI41" t="s">
        <v>899</v>
      </c>
    </row>
    <row r="42" spans="11:41" x14ac:dyDescent="0.25">
      <c r="K42" t="s">
        <v>85</v>
      </c>
      <c r="AF42" t="str">
        <f t="shared" si="5"/>
        <v>XXX-590-42</v>
      </c>
      <c r="AI42" t="s">
        <v>900</v>
      </c>
      <c r="AO42" t="s">
        <v>86</v>
      </c>
    </row>
    <row r="43" spans="11:41" x14ac:dyDescent="0.25">
      <c r="K43" t="s">
        <v>87</v>
      </c>
      <c r="AF43" t="str">
        <f t="shared" si="5"/>
        <v>XXX-590-52</v>
      </c>
      <c r="AI43" t="s">
        <v>901</v>
      </c>
    </row>
    <row r="44" spans="11:41" x14ac:dyDescent="0.25">
      <c r="K44" t="s">
        <v>88</v>
      </c>
      <c r="AF44" t="str">
        <f t="shared" si="5"/>
        <v>XXX-650-1</v>
      </c>
      <c r="AI44" t="s">
        <v>752</v>
      </c>
    </row>
    <row r="45" spans="11:41" x14ac:dyDescent="0.25">
      <c r="K45" t="s">
        <v>89</v>
      </c>
      <c r="AF45" t="str">
        <f t="shared" si="5"/>
        <v>XXX-650-2</v>
      </c>
      <c r="AI45" t="s">
        <v>761</v>
      </c>
    </row>
    <row r="46" spans="11:41" x14ac:dyDescent="0.25">
      <c r="K46" t="s">
        <v>90</v>
      </c>
      <c r="AF46" t="str">
        <f t="shared" si="5"/>
        <v>XXX-650-3</v>
      </c>
      <c r="AI46" t="s">
        <v>776</v>
      </c>
    </row>
    <row r="47" spans="11:41" x14ac:dyDescent="0.25">
      <c r="K47" t="s">
        <v>91</v>
      </c>
      <c r="AF47" t="str">
        <f t="shared" si="5"/>
        <v>XXX-650-4</v>
      </c>
      <c r="AI47" t="s">
        <v>783</v>
      </c>
    </row>
    <row r="48" spans="11:41" x14ac:dyDescent="0.25">
      <c r="K48" t="s">
        <v>92</v>
      </c>
      <c r="AF48" t="str">
        <f t="shared" si="5"/>
        <v>XXX-650-5</v>
      </c>
      <c r="AI48" t="s">
        <v>792</v>
      </c>
    </row>
    <row r="49" spans="11:35" x14ac:dyDescent="0.25">
      <c r="K49" t="s">
        <v>93</v>
      </c>
      <c r="AF49" t="str">
        <f t="shared" si="5"/>
        <v>XXX-650-22</v>
      </c>
      <c r="AI49" t="s">
        <v>751</v>
      </c>
    </row>
    <row r="50" spans="11:35" x14ac:dyDescent="0.25">
      <c r="K50" t="s">
        <v>94</v>
      </c>
      <c r="AF50" t="str">
        <f t="shared" si="5"/>
        <v>XXX-650-32</v>
      </c>
      <c r="AI50" t="s">
        <v>755</v>
      </c>
    </row>
    <row r="51" spans="11:35" x14ac:dyDescent="0.25">
      <c r="K51" t="s">
        <v>95</v>
      </c>
      <c r="AF51" t="str">
        <f t="shared" si="5"/>
        <v>XXX-650-42</v>
      </c>
      <c r="AI51" t="s">
        <v>770</v>
      </c>
    </row>
    <row r="52" spans="11:35" x14ac:dyDescent="0.25">
      <c r="K52" t="s">
        <v>96</v>
      </c>
      <c r="AF52" t="str">
        <f t="shared" si="5"/>
        <v>XXX-650-52</v>
      </c>
      <c r="AI52" t="s">
        <v>786</v>
      </c>
    </row>
    <row r="53" spans="11:35" x14ac:dyDescent="0.25">
      <c r="K53" t="s">
        <v>97</v>
      </c>
      <c r="AF53" t="str">
        <f t="shared" si="5"/>
        <v>XXX-720-1</v>
      </c>
      <c r="AI53" t="s">
        <v>902</v>
      </c>
    </row>
    <row r="54" spans="11:35" x14ac:dyDescent="0.25">
      <c r="K54" t="s">
        <v>98</v>
      </c>
      <c r="AF54" t="str">
        <f t="shared" si="5"/>
        <v>XXX-720-2</v>
      </c>
      <c r="AI54" t="s">
        <v>903</v>
      </c>
    </row>
    <row r="55" spans="11:35" x14ac:dyDescent="0.25">
      <c r="K55" t="s">
        <v>99</v>
      </c>
      <c r="AF55" t="str">
        <f t="shared" si="5"/>
        <v>XXX-720-3</v>
      </c>
      <c r="AI55" t="s">
        <v>904</v>
      </c>
    </row>
    <row r="56" spans="11:35" x14ac:dyDescent="0.25">
      <c r="K56" t="s">
        <v>100</v>
      </c>
      <c r="AF56" t="str">
        <f t="shared" si="5"/>
        <v>XXX-720-4</v>
      </c>
      <c r="AI56" t="s">
        <v>905</v>
      </c>
    </row>
    <row r="57" spans="11:35" x14ac:dyDescent="0.25">
      <c r="K57" t="s">
        <v>101</v>
      </c>
      <c r="AF57" t="str">
        <f t="shared" si="5"/>
        <v>XXX-720-5</v>
      </c>
      <c r="AI57" t="s">
        <v>906</v>
      </c>
    </row>
    <row r="58" spans="11:35" x14ac:dyDescent="0.25">
      <c r="K58" t="s">
        <v>102</v>
      </c>
      <c r="AF58" t="str">
        <f t="shared" si="5"/>
        <v>XXX-720-22</v>
      </c>
      <c r="AI58" t="s">
        <v>907</v>
      </c>
    </row>
    <row r="59" spans="11:35" x14ac:dyDescent="0.25">
      <c r="K59" t="s">
        <v>103</v>
      </c>
      <c r="AF59" t="str">
        <f t="shared" si="5"/>
        <v>XXX-720-32</v>
      </c>
      <c r="AI59" t="s">
        <v>908</v>
      </c>
    </row>
    <row r="60" spans="11:35" x14ac:dyDescent="0.25">
      <c r="K60" t="s">
        <v>104</v>
      </c>
      <c r="AF60" t="str">
        <f t="shared" si="5"/>
        <v>XXX-720-42</v>
      </c>
      <c r="AI60" t="s">
        <v>909</v>
      </c>
    </row>
    <row r="61" spans="11:35" x14ac:dyDescent="0.25">
      <c r="K61" t="s">
        <v>105</v>
      </c>
      <c r="AF61" t="str">
        <f t="shared" si="5"/>
        <v>XXX-720-52</v>
      </c>
      <c r="AI61" t="s">
        <v>910</v>
      </c>
    </row>
    <row r="62" spans="11:35" x14ac:dyDescent="0.25">
      <c r="K62" t="s">
        <v>106</v>
      </c>
      <c r="AF62" t="str">
        <f t="shared" si="5"/>
        <v>XXX-790-1</v>
      </c>
      <c r="AI62" t="s">
        <v>911</v>
      </c>
    </row>
    <row r="63" spans="11:35" x14ac:dyDescent="0.25">
      <c r="K63" t="s">
        <v>107</v>
      </c>
      <c r="AF63" t="str">
        <f t="shared" si="5"/>
        <v>XXX-790-2</v>
      </c>
      <c r="AI63" t="s">
        <v>912</v>
      </c>
    </row>
    <row r="64" spans="11:35" x14ac:dyDescent="0.25">
      <c r="K64" t="s">
        <v>108</v>
      </c>
      <c r="AF64" t="str">
        <f t="shared" si="5"/>
        <v>XXX-790-3</v>
      </c>
      <c r="AI64" t="s">
        <v>913</v>
      </c>
    </row>
    <row r="65" spans="11:35" x14ac:dyDescent="0.25">
      <c r="K65" t="s">
        <v>109</v>
      </c>
      <c r="AF65" t="str">
        <f t="shared" si="5"/>
        <v>XXX-790-4</v>
      </c>
      <c r="AI65" t="s">
        <v>914</v>
      </c>
    </row>
    <row r="66" spans="11:35" x14ac:dyDescent="0.25">
      <c r="K66" t="s">
        <v>110</v>
      </c>
      <c r="AF66" t="str">
        <f t="shared" si="5"/>
        <v>XXX-790-5</v>
      </c>
      <c r="AI66" t="s">
        <v>915</v>
      </c>
    </row>
    <row r="67" spans="11:35" x14ac:dyDescent="0.25">
      <c r="K67" t="s">
        <v>111</v>
      </c>
      <c r="AF67" t="str">
        <f t="shared" ref="AF67:AF114" si="11">SUBSTITUTE(AI67, "-B-CM-TRS", "")</f>
        <v>XXX-790-22</v>
      </c>
      <c r="AI67" t="s">
        <v>916</v>
      </c>
    </row>
    <row r="68" spans="11:35" x14ac:dyDescent="0.25">
      <c r="K68" t="s">
        <v>112</v>
      </c>
      <c r="AF68" t="str">
        <f t="shared" si="11"/>
        <v>XXX-790-32</v>
      </c>
      <c r="AI68" t="s">
        <v>917</v>
      </c>
    </row>
    <row r="69" spans="11:35" x14ac:dyDescent="0.25">
      <c r="K69" t="s">
        <v>113</v>
      </c>
      <c r="AF69" t="str">
        <f t="shared" si="11"/>
        <v>XXX-790-42</v>
      </c>
      <c r="AI69" t="s">
        <v>918</v>
      </c>
    </row>
    <row r="70" spans="11:35" x14ac:dyDescent="0.25">
      <c r="K70" t="s">
        <v>114</v>
      </c>
      <c r="AF70" t="str">
        <f t="shared" si="11"/>
        <v>XXX-790-52</v>
      </c>
      <c r="AI70" t="s">
        <v>919</v>
      </c>
    </row>
    <row r="71" spans="11:35" x14ac:dyDescent="0.25">
      <c r="K71" t="s">
        <v>115</v>
      </c>
      <c r="AF71" t="str">
        <f t="shared" si="11"/>
        <v>XXX-860-1</v>
      </c>
      <c r="AI71" t="s">
        <v>920</v>
      </c>
    </row>
    <row r="72" spans="11:35" x14ac:dyDescent="0.25">
      <c r="K72" t="s">
        <v>116</v>
      </c>
      <c r="AF72" t="str">
        <f t="shared" si="11"/>
        <v>XXX-860-2</v>
      </c>
      <c r="AI72" t="s">
        <v>921</v>
      </c>
    </row>
    <row r="73" spans="11:35" x14ac:dyDescent="0.25">
      <c r="K73" t="s">
        <v>117</v>
      </c>
      <c r="AF73" t="str">
        <f t="shared" si="11"/>
        <v>XXX-860-3</v>
      </c>
      <c r="AI73" t="s">
        <v>922</v>
      </c>
    </row>
    <row r="74" spans="11:35" x14ac:dyDescent="0.25">
      <c r="K74" t="s">
        <v>118</v>
      </c>
      <c r="AF74" t="str">
        <f t="shared" si="11"/>
        <v>XXX-860-4</v>
      </c>
      <c r="AI74" t="s">
        <v>923</v>
      </c>
    </row>
    <row r="75" spans="11:35" x14ac:dyDescent="0.25">
      <c r="K75" t="s">
        <v>119</v>
      </c>
      <c r="AF75" t="str">
        <f t="shared" si="11"/>
        <v>XXX-860-5</v>
      </c>
      <c r="AI75" t="s">
        <v>924</v>
      </c>
    </row>
    <row r="76" spans="11:35" x14ac:dyDescent="0.25">
      <c r="K76" t="s">
        <v>120</v>
      </c>
      <c r="AF76" t="str">
        <f t="shared" si="11"/>
        <v>XXX-860-6</v>
      </c>
      <c r="AI76" t="s">
        <v>925</v>
      </c>
    </row>
    <row r="77" spans="11:35" x14ac:dyDescent="0.25">
      <c r="K77" t="s">
        <v>121</v>
      </c>
      <c r="AF77" t="str">
        <f t="shared" si="11"/>
        <v>XXX-860-22</v>
      </c>
      <c r="AI77" t="s">
        <v>926</v>
      </c>
    </row>
    <row r="78" spans="11:35" x14ac:dyDescent="0.25">
      <c r="K78" t="s">
        <v>122</v>
      </c>
      <c r="AF78" t="str">
        <f t="shared" si="11"/>
        <v>XXX-860-32</v>
      </c>
      <c r="AI78" t="s">
        <v>927</v>
      </c>
    </row>
    <row r="79" spans="11:35" x14ac:dyDescent="0.25">
      <c r="K79" t="s">
        <v>123</v>
      </c>
      <c r="AF79" t="str">
        <f t="shared" si="11"/>
        <v>XXX-860-42</v>
      </c>
      <c r="AI79" t="s">
        <v>928</v>
      </c>
    </row>
    <row r="80" spans="11:35" x14ac:dyDescent="0.25">
      <c r="K80" t="s">
        <v>124</v>
      </c>
      <c r="AF80" t="str">
        <f t="shared" si="11"/>
        <v>XXX-860-52</v>
      </c>
      <c r="AI80" t="s">
        <v>929</v>
      </c>
    </row>
    <row r="81" spans="11:35" x14ac:dyDescent="0.25">
      <c r="K81" t="s">
        <v>125</v>
      </c>
      <c r="AF81" t="str">
        <f t="shared" si="11"/>
        <v>XXX-860-62</v>
      </c>
      <c r="AI81" t="s">
        <v>930</v>
      </c>
    </row>
    <row r="82" spans="11:35" x14ac:dyDescent="0.25">
      <c r="K82" t="s">
        <v>126</v>
      </c>
      <c r="AF82" t="str">
        <f t="shared" si="11"/>
        <v>XXX-940-1</v>
      </c>
      <c r="AI82" t="s">
        <v>931</v>
      </c>
    </row>
    <row r="83" spans="11:35" x14ac:dyDescent="0.25">
      <c r="K83" t="s">
        <v>127</v>
      </c>
      <c r="AF83" t="str">
        <f t="shared" si="11"/>
        <v>XXX-940-2</v>
      </c>
      <c r="AI83" t="s">
        <v>932</v>
      </c>
    </row>
    <row r="84" spans="11:35" x14ac:dyDescent="0.25">
      <c r="K84" t="s">
        <v>128</v>
      </c>
      <c r="AF84" t="str">
        <f t="shared" si="11"/>
        <v>XXX-940-3</v>
      </c>
      <c r="AI84" t="s">
        <v>933</v>
      </c>
    </row>
    <row r="85" spans="11:35" x14ac:dyDescent="0.25">
      <c r="K85" t="s">
        <v>129</v>
      </c>
      <c r="AF85" t="str">
        <f t="shared" si="11"/>
        <v>XXX-940-4</v>
      </c>
      <c r="AI85" t="s">
        <v>934</v>
      </c>
    </row>
    <row r="86" spans="11:35" x14ac:dyDescent="0.25">
      <c r="K86" t="s">
        <v>130</v>
      </c>
      <c r="AF86" t="str">
        <f t="shared" si="11"/>
        <v>XXX-940-5</v>
      </c>
      <c r="AI86" t="s">
        <v>935</v>
      </c>
    </row>
    <row r="87" spans="11:35" x14ac:dyDescent="0.25">
      <c r="K87" t="s">
        <v>131</v>
      </c>
      <c r="AF87" t="str">
        <f t="shared" si="11"/>
        <v>XXX-940-6</v>
      </c>
      <c r="AI87" t="s">
        <v>936</v>
      </c>
    </row>
    <row r="88" spans="11:35" x14ac:dyDescent="0.25">
      <c r="K88" t="s">
        <v>132</v>
      </c>
      <c r="AF88" t="str">
        <f t="shared" si="11"/>
        <v>XXX-940-22</v>
      </c>
      <c r="AI88" t="s">
        <v>937</v>
      </c>
    </row>
    <row r="89" spans="11:35" x14ac:dyDescent="0.25">
      <c r="K89" t="s">
        <v>133</v>
      </c>
      <c r="AF89" t="str">
        <f t="shared" si="11"/>
        <v>XXX-940-32</v>
      </c>
      <c r="AI89" t="s">
        <v>938</v>
      </c>
    </row>
    <row r="90" spans="11:35" x14ac:dyDescent="0.25">
      <c r="K90" t="s">
        <v>134</v>
      </c>
      <c r="AF90" t="str">
        <f t="shared" si="11"/>
        <v>XXX-940-42</v>
      </c>
      <c r="AI90" t="s">
        <v>939</v>
      </c>
    </row>
    <row r="91" spans="11:35" x14ac:dyDescent="0.25">
      <c r="K91" t="s">
        <v>34</v>
      </c>
      <c r="AF91" t="str">
        <f t="shared" si="11"/>
        <v>XXX-940-52</v>
      </c>
      <c r="AI91" t="s">
        <v>940</v>
      </c>
    </row>
    <row r="92" spans="11:35" x14ac:dyDescent="0.25">
      <c r="K92" t="s">
        <v>135</v>
      </c>
      <c r="AF92" t="str">
        <f t="shared" si="11"/>
        <v>XXX-940-62</v>
      </c>
      <c r="AI92" t="s">
        <v>941</v>
      </c>
    </row>
    <row r="93" spans="11:35" x14ac:dyDescent="0.25">
      <c r="K93" t="s">
        <v>136</v>
      </c>
      <c r="AF93" t="str">
        <f t="shared" si="11"/>
        <v>XXX-1010-1</v>
      </c>
      <c r="AI93" t="s">
        <v>942</v>
      </c>
    </row>
    <row r="94" spans="11:35" x14ac:dyDescent="0.25">
      <c r="K94" t="s">
        <v>137</v>
      </c>
      <c r="AF94" t="str">
        <f t="shared" si="11"/>
        <v>XXX-1010-2</v>
      </c>
      <c r="AI94" t="s">
        <v>943</v>
      </c>
    </row>
    <row r="95" spans="11:35" x14ac:dyDescent="0.25">
      <c r="K95" t="s">
        <v>138</v>
      </c>
      <c r="AF95" t="str">
        <f t="shared" si="11"/>
        <v>XXX-1010-3</v>
      </c>
      <c r="AI95" t="s">
        <v>944</v>
      </c>
    </row>
    <row r="96" spans="11:35" x14ac:dyDescent="0.25">
      <c r="K96" t="s">
        <v>139</v>
      </c>
      <c r="AF96" t="str">
        <f t="shared" si="11"/>
        <v>XXX-1010-4</v>
      </c>
      <c r="AI96" t="s">
        <v>945</v>
      </c>
    </row>
    <row r="97" spans="11:35" x14ac:dyDescent="0.25">
      <c r="K97" t="s">
        <v>140</v>
      </c>
      <c r="AF97" t="str">
        <f t="shared" si="11"/>
        <v>XXX-1010-5</v>
      </c>
      <c r="AI97" t="s">
        <v>946</v>
      </c>
    </row>
    <row r="98" spans="11:35" x14ac:dyDescent="0.25">
      <c r="K98" t="s">
        <v>141</v>
      </c>
      <c r="AF98" t="str">
        <f t="shared" si="11"/>
        <v>XXX-1010-6</v>
      </c>
      <c r="AI98" t="s">
        <v>947</v>
      </c>
    </row>
    <row r="99" spans="11:35" x14ac:dyDescent="0.25">
      <c r="K99" t="s">
        <v>142</v>
      </c>
      <c r="AF99" t="str">
        <f t="shared" si="11"/>
        <v>XXX-1010-22</v>
      </c>
      <c r="AI99" t="s">
        <v>948</v>
      </c>
    </row>
    <row r="100" spans="11:35" x14ac:dyDescent="0.25">
      <c r="K100" t="s">
        <v>143</v>
      </c>
      <c r="AF100" t="str">
        <f t="shared" si="11"/>
        <v>XXX-1010-32</v>
      </c>
      <c r="AI100" t="s">
        <v>949</v>
      </c>
    </row>
    <row r="101" spans="11:35" x14ac:dyDescent="0.25">
      <c r="K101" t="s">
        <v>144</v>
      </c>
      <c r="AF101" t="str">
        <f t="shared" si="11"/>
        <v>XXX-1010-42</v>
      </c>
      <c r="AI101" t="s">
        <v>950</v>
      </c>
    </row>
    <row r="102" spans="11:35" x14ac:dyDescent="0.25">
      <c r="K102" t="s">
        <v>145</v>
      </c>
      <c r="AF102" t="str">
        <f t="shared" si="11"/>
        <v>XXX-1010-52</v>
      </c>
      <c r="AI102" t="s">
        <v>951</v>
      </c>
    </row>
    <row r="103" spans="11:35" x14ac:dyDescent="0.25">
      <c r="K103" t="s">
        <v>146</v>
      </c>
      <c r="AF103" t="str">
        <f t="shared" si="11"/>
        <v>XXX-1010-62</v>
      </c>
      <c r="AI103" t="s">
        <v>952</v>
      </c>
    </row>
    <row r="104" spans="11:35" x14ac:dyDescent="0.25">
      <c r="K104" t="s">
        <v>147</v>
      </c>
      <c r="AF104" t="str">
        <f t="shared" si="11"/>
        <v>XXX-1180-1</v>
      </c>
      <c r="AI104" t="s">
        <v>953</v>
      </c>
    </row>
    <row r="105" spans="11:35" x14ac:dyDescent="0.25">
      <c r="K105" t="s">
        <v>148</v>
      </c>
      <c r="AF105" t="str">
        <f t="shared" si="11"/>
        <v>XXX-1180-2</v>
      </c>
      <c r="AI105" t="s">
        <v>954</v>
      </c>
    </row>
    <row r="106" spans="11:35" x14ac:dyDescent="0.25">
      <c r="K106" t="s">
        <v>149</v>
      </c>
      <c r="AF106" t="str">
        <f t="shared" si="11"/>
        <v>XXX-1180-3</v>
      </c>
      <c r="AI106" t="s">
        <v>955</v>
      </c>
    </row>
    <row r="107" spans="11:35" x14ac:dyDescent="0.25">
      <c r="K107" t="s">
        <v>150</v>
      </c>
      <c r="AF107" t="str">
        <f t="shared" si="11"/>
        <v>XXX-1180-4</v>
      </c>
      <c r="AI107" t="s">
        <v>956</v>
      </c>
    </row>
    <row r="108" spans="11:35" x14ac:dyDescent="0.25">
      <c r="K108" t="s">
        <v>151</v>
      </c>
      <c r="AF108" t="str">
        <f t="shared" si="11"/>
        <v>XXX-1180-5</v>
      </c>
      <c r="AI108" t="s">
        <v>957</v>
      </c>
    </row>
    <row r="109" spans="11:35" x14ac:dyDescent="0.25">
      <c r="K109" t="s">
        <v>152</v>
      </c>
      <c r="AF109" t="str">
        <f t="shared" si="11"/>
        <v>XXX-1180-6</v>
      </c>
      <c r="AI109" t="s">
        <v>958</v>
      </c>
    </row>
    <row r="110" spans="11:35" x14ac:dyDescent="0.25">
      <c r="K110" t="s">
        <v>153</v>
      </c>
      <c r="AF110" t="str">
        <f t="shared" si="11"/>
        <v>XXX-1180-22</v>
      </c>
      <c r="AI110" t="s">
        <v>959</v>
      </c>
    </row>
    <row r="111" spans="11:35" x14ac:dyDescent="0.25">
      <c r="K111" t="s">
        <v>154</v>
      </c>
      <c r="AF111" t="str">
        <f t="shared" si="11"/>
        <v>XXX-1180-32</v>
      </c>
      <c r="AI111" t="s">
        <v>960</v>
      </c>
    </row>
    <row r="112" spans="11:35" x14ac:dyDescent="0.25">
      <c r="K112" t="s">
        <v>155</v>
      </c>
      <c r="AF112" t="str">
        <f t="shared" si="11"/>
        <v>XXX-1180-42</v>
      </c>
      <c r="AI112" t="s">
        <v>961</v>
      </c>
    </row>
    <row r="113" spans="11:35" x14ac:dyDescent="0.25">
      <c r="K113" t="s">
        <v>156</v>
      </c>
      <c r="AF113" t="str">
        <f t="shared" si="11"/>
        <v>XXX-1180-52</v>
      </c>
      <c r="AI113" t="s">
        <v>962</v>
      </c>
    </row>
    <row r="114" spans="11:35" x14ac:dyDescent="0.25">
      <c r="K114" t="s">
        <v>157</v>
      </c>
      <c r="AF114" t="str">
        <f t="shared" si="11"/>
        <v>XXX-1180-62</v>
      </c>
      <c r="AI114" t="s">
        <v>963</v>
      </c>
    </row>
    <row r="115" spans="11:35" x14ac:dyDescent="0.25">
      <c r="K115" t="s">
        <v>158</v>
      </c>
    </row>
    <row r="116" spans="11:35" x14ac:dyDescent="0.25">
      <c r="K116" t="s">
        <v>159</v>
      </c>
    </row>
    <row r="117" spans="11:35" x14ac:dyDescent="0.25">
      <c r="K117" t="s">
        <v>160</v>
      </c>
    </row>
    <row r="118" spans="11:35" x14ac:dyDescent="0.25">
      <c r="K118" t="s">
        <v>161</v>
      </c>
    </row>
    <row r="119" spans="11:35" x14ac:dyDescent="0.25">
      <c r="K119" t="s">
        <v>162</v>
      </c>
    </row>
    <row r="120" spans="11:35" x14ac:dyDescent="0.25">
      <c r="K120" t="s">
        <v>163</v>
      </c>
    </row>
    <row r="121" spans="11:35" x14ac:dyDescent="0.25">
      <c r="K121" t="s">
        <v>164</v>
      </c>
    </row>
    <row r="122" spans="11:35" x14ac:dyDescent="0.25">
      <c r="K122" t="s">
        <v>165</v>
      </c>
    </row>
    <row r="123" spans="11:35" x14ac:dyDescent="0.25">
      <c r="K123" t="s">
        <v>166</v>
      </c>
    </row>
    <row r="124" spans="11:35" x14ac:dyDescent="0.25">
      <c r="K124" t="s">
        <v>167</v>
      </c>
    </row>
    <row r="125" spans="11:35" x14ac:dyDescent="0.25">
      <c r="K125" t="s">
        <v>168</v>
      </c>
    </row>
    <row r="126" spans="11:35" x14ac:dyDescent="0.25">
      <c r="K126" t="s">
        <v>169</v>
      </c>
    </row>
    <row r="127" spans="11:35" x14ac:dyDescent="0.25">
      <c r="K127" t="s">
        <v>170</v>
      </c>
    </row>
    <row r="128" spans="11:35" x14ac:dyDescent="0.25">
      <c r="K128" t="s">
        <v>171</v>
      </c>
    </row>
    <row r="129" spans="11:11" x14ac:dyDescent="0.25">
      <c r="K129" t="s">
        <v>172</v>
      </c>
    </row>
    <row r="130" spans="11:11" x14ac:dyDescent="0.25">
      <c r="K130" t="s">
        <v>173</v>
      </c>
    </row>
    <row r="131" spans="11:11" x14ac:dyDescent="0.25">
      <c r="K131" t="s">
        <v>174</v>
      </c>
    </row>
    <row r="132" spans="11:11" x14ac:dyDescent="0.25">
      <c r="K132" t="s">
        <v>175</v>
      </c>
    </row>
    <row r="133" spans="11:11" x14ac:dyDescent="0.25">
      <c r="K133" t="s">
        <v>176</v>
      </c>
    </row>
    <row r="134" spans="11:11" x14ac:dyDescent="0.25">
      <c r="K134" t="s">
        <v>177</v>
      </c>
    </row>
    <row r="135" spans="11:11" x14ac:dyDescent="0.25">
      <c r="K135" t="s">
        <v>178</v>
      </c>
    </row>
    <row r="136" spans="11:11" x14ac:dyDescent="0.25">
      <c r="K136" t="s">
        <v>179</v>
      </c>
    </row>
    <row r="137" spans="11:11" x14ac:dyDescent="0.25">
      <c r="K137" t="s">
        <v>180</v>
      </c>
    </row>
    <row r="138" spans="11:11" x14ac:dyDescent="0.25">
      <c r="K138" t="s">
        <v>181</v>
      </c>
    </row>
    <row r="139" spans="11:11" x14ac:dyDescent="0.25">
      <c r="K139" t="s">
        <v>182</v>
      </c>
    </row>
    <row r="140" spans="11:11" x14ac:dyDescent="0.25">
      <c r="K140" t="s">
        <v>183</v>
      </c>
    </row>
    <row r="141" spans="11:11" x14ac:dyDescent="0.25">
      <c r="K141" t="s">
        <v>184</v>
      </c>
    </row>
    <row r="142" spans="11:11" x14ac:dyDescent="0.25">
      <c r="K142" t="s">
        <v>185</v>
      </c>
    </row>
    <row r="143" spans="11:11" x14ac:dyDescent="0.25">
      <c r="K143" t="s">
        <v>186</v>
      </c>
    </row>
    <row r="144" spans="11:11" x14ac:dyDescent="0.25">
      <c r="K144" t="s">
        <v>187</v>
      </c>
    </row>
    <row r="145" spans="11:11" x14ac:dyDescent="0.25">
      <c r="K145" t="s">
        <v>188</v>
      </c>
    </row>
    <row r="146" spans="11:11" x14ac:dyDescent="0.25">
      <c r="K146" t="s">
        <v>189</v>
      </c>
    </row>
    <row r="147" spans="11:11" x14ac:dyDescent="0.25">
      <c r="K147" t="s">
        <v>190</v>
      </c>
    </row>
    <row r="148" spans="11:11" x14ac:dyDescent="0.25">
      <c r="K148" t="s">
        <v>191</v>
      </c>
    </row>
    <row r="149" spans="11:11" x14ac:dyDescent="0.25">
      <c r="K149" t="s">
        <v>192</v>
      </c>
    </row>
    <row r="150" spans="11:11" x14ac:dyDescent="0.25">
      <c r="K150" t="s">
        <v>193</v>
      </c>
    </row>
    <row r="151" spans="11:11" x14ac:dyDescent="0.25">
      <c r="K151" t="s">
        <v>194</v>
      </c>
    </row>
    <row r="152" spans="11:11" x14ac:dyDescent="0.25">
      <c r="K152" t="s">
        <v>195</v>
      </c>
    </row>
    <row r="153" spans="11:11" x14ac:dyDescent="0.25">
      <c r="K153" t="s">
        <v>196</v>
      </c>
    </row>
    <row r="154" spans="11:11" x14ac:dyDescent="0.25">
      <c r="K154" t="s">
        <v>56</v>
      </c>
    </row>
    <row r="155" spans="11:11" x14ac:dyDescent="0.25">
      <c r="K155" t="s">
        <v>197</v>
      </c>
    </row>
    <row r="156" spans="11:11" x14ac:dyDescent="0.25">
      <c r="K156" t="s">
        <v>198</v>
      </c>
    </row>
    <row r="157" spans="11:11" x14ac:dyDescent="0.25">
      <c r="K157" t="s">
        <v>199</v>
      </c>
    </row>
    <row r="158" spans="11:11" x14ac:dyDescent="0.25">
      <c r="K158" t="s">
        <v>200</v>
      </c>
    </row>
    <row r="159" spans="11:11" x14ac:dyDescent="0.25">
      <c r="K159" t="s">
        <v>201</v>
      </c>
    </row>
    <row r="160" spans="11:11" x14ac:dyDescent="0.25">
      <c r="K160" t="s">
        <v>202</v>
      </c>
    </row>
    <row r="161" spans="11:11" x14ac:dyDescent="0.25">
      <c r="K161" t="s">
        <v>203</v>
      </c>
    </row>
    <row r="162" spans="11:11" x14ac:dyDescent="0.25">
      <c r="K162" t="s">
        <v>204</v>
      </c>
    </row>
    <row r="163" spans="11:11" x14ac:dyDescent="0.25">
      <c r="K163" t="s">
        <v>205</v>
      </c>
    </row>
    <row r="164" spans="11:11" x14ac:dyDescent="0.25">
      <c r="K164" t="s">
        <v>206</v>
      </c>
    </row>
    <row r="165" spans="11:11" x14ac:dyDescent="0.25">
      <c r="K165" t="s">
        <v>207</v>
      </c>
    </row>
    <row r="166" spans="11:11" x14ac:dyDescent="0.25">
      <c r="K166" t="s">
        <v>208</v>
      </c>
    </row>
    <row r="167" spans="11:11" x14ac:dyDescent="0.25">
      <c r="K167" t="s">
        <v>209</v>
      </c>
    </row>
    <row r="168" spans="11:11" x14ac:dyDescent="0.25">
      <c r="K168" t="s">
        <v>210</v>
      </c>
    </row>
    <row r="169" spans="11:11" x14ac:dyDescent="0.25">
      <c r="K169" t="s">
        <v>211</v>
      </c>
    </row>
    <row r="170" spans="11:11" x14ac:dyDescent="0.25">
      <c r="K170" t="s">
        <v>212</v>
      </c>
    </row>
    <row r="171" spans="11:11" x14ac:dyDescent="0.25">
      <c r="K171" t="s">
        <v>213</v>
      </c>
    </row>
    <row r="172" spans="11:11" x14ac:dyDescent="0.25">
      <c r="K172" t="s">
        <v>214</v>
      </c>
    </row>
    <row r="173" spans="11:11" x14ac:dyDescent="0.25">
      <c r="K173" t="s">
        <v>215</v>
      </c>
    </row>
    <row r="174" spans="11:11" x14ac:dyDescent="0.25">
      <c r="K174" t="s">
        <v>216</v>
      </c>
    </row>
    <row r="175" spans="11:11" x14ac:dyDescent="0.25">
      <c r="K175" t="s">
        <v>217</v>
      </c>
    </row>
    <row r="176" spans="11:11" x14ac:dyDescent="0.25">
      <c r="K176" t="s">
        <v>218</v>
      </c>
    </row>
    <row r="177" spans="11:11" x14ac:dyDescent="0.25">
      <c r="K177" t="s">
        <v>219</v>
      </c>
    </row>
    <row r="178" spans="11:11" x14ac:dyDescent="0.25">
      <c r="K178" t="s">
        <v>220</v>
      </c>
    </row>
    <row r="179" spans="11:11" x14ac:dyDescent="0.25">
      <c r="K179" t="s">
        <v>221</v>
      </c>
    </row>
    <row r="180" spans="11:11" x14ac:dyDescent="0.25">
      <c r="K180" t="s">
        <v>222</v>
      </c>
    </row>
    <row r="181" spans="11:11" x14ac:dyDescent="0.25">
      <c r="K181" t="s">
        <v>223</v>
      </c>
    </row>
    <row r="182" spans="11:11" x14ac:dyDescent="0.25">
      <c r="K182" t="s">
        <v>224</v>
      </c>
    </row>
    <row r="183" spans="11:11" x14ac:dyDescent="0.25">
      <c r="K183" t="s">
        <v>225</v>
      </c>
    </row>
    <row r="184" spans="11:11" x14ac:dyDescent="0.25">
      <c r="K184" t="s">
        <v>226</v>
      </c>
    </row>
    <row r="185" spans="11:11" x14ac:dyDescent="0.25">
      <c r="K185" t="s">
        <v>227</v>
      </c>
    </row>
    <row r="186" spans="11:11" x14ac:dyDescent="0.25">
      <c r="K186" t="s">
        <v>228</v>
      </c>
    </row>
    <row r="187" spans="11:11" x14ac:dyDescent="0.25">
      <c r="K187" t="s">
        <v>229</v>
      </c>
    </row>
    <row r="188" spans="11:11" x14ac:dyDescent="0.25">
      <c r="K188" t="s">
        <v>230</v>
      </c>
    </row>
    <row r="189" spans="11:11" x14ac:dyDescent="0.25">
      <c r="K189" t="s">
        <v>231</v>
      </c>
    </row>
    <row r="190" spans="11:11" x14ac:dyDescent="0.25">
      <c r="K190" t="s">
        <v>232</v>
      </c>
    </row>
    <row r="191" spans="11:11" x14ac:dyDescent="0.25">
      <c r="K191" t="s">
        <v>233</v>
      </c>
    </row>
    <row r="192" spans="11:11" x14ac:dyDescent="0.25">
      <c r="K192" t="s">
        <v>234</v>
      </c>
    </row>
    <row r="193" spans="11:11" x14ac:dyDescent="0.25">
      <c r="K193" t="s">
        <v>235</v>
      </c>
    </row>
    <row r="194" spans="11:11" x14ac:dyDescent="0.25">
      <c r="K194" t="s">
        <v>236</v>
      </c>
    </row>
    <row r="195" spans="11:11" x14ac:dyDescent="0.25">
      <c r="K195" t="s">
        <v>237</v>
      </c>
    </row>
    <row r="196" spans="11:11" x14ac:dyDescent="0.25">
      <c r="K196" t="s">
        <v>238</v>
      </c>
    </row>
    <row r="197" spans="11:11" x14ac:dyDescent="0.25">
      <c r="K197" t="s">
        <v>239</v>
      </c>
    </row>
    <row r="198" spans="11:11" x14ac:dyDescent="0.25">
      <c r="K198" t="s">
        <v>240</v>
      </c>
    </row>
    <row r="199" spans="11:11" x14ac:dyDescent="0.25">
      <c r="K199" t="s">
        <v>241</v>
      </c>
    </row>
    <row r="200" spans="11:11" x14ac:dyDescent="0.25">
      <c r="K200" t="s">
        <v>242</v>
      </c>
    </row>
    <row r="201" spans="11:11" x14ac:dyDescent="0.25">
      <c r="K201" t="s">
        <v>243</v>
      </c>
    </row>
    <row r="202" spans="11:11" x14ac:dyDescent="0.25">
      <c r="K202" t="s">
        <v>244</v>
      </c>
    </row>
    <row r="203" spans="11:11" x14ac:dyDescent="0.25">
      <c r="K203" t="s">
        <v>245</v>
      </c>
    </row>
    <row r="204" spans="11:11" x14ac:dyDescent="0.25">
      <c r="K204" t="s">
        <v>246</v>
      </c>
    </row>
    <row r="205" spans="11:11" x14ac:dyDescent="0.25">
      <c r="K205" t="s">
        <v>247</v>
      </c>
    </row>
    <row r="206" spans="11:11" x14ac:dyDescent="0.25">
      <c r="K206" t="s">
        <v>248</v>
      </c>
    </row>
    <row r="207" spans="11:11" x14ac:dyDescent="0.25">
      <c r="K207" t="s">
        <v>249</v>
      </c>
    </row>
    <row r="208" spans="11:11" x14ac:dyDescent="0.25">
      <c r="K208" t="s">
        <v>250</v>
      </c>
    </row>
    <row r="209" spans="11:11" x14ac:dyDescent="0.25">
      <c r="K209" t="s">
        <v>251</v>
      </c>
    </row>
    <row r="210" spans="11:11" x14ac:dyDescent="0.25">
      <c r="K210" t="s">
        <v>252</v>
      </c>
    </row>
    <row r="211" spans="11:11" x14ac:dyDescent="0.25">
      <c r="K211" t="s">
        <v>253</v>
      </c>
    </row>
    <row r="212" spans="11:11" x14ac:dyDescent="0.25">
      <c r="K212" t="s">
        <v>254</v>
      </c>
    </row>
    <row r="213" spans="11:11" x14ac:dyDescent="0.25">
      <c r="K213" t="s">
        <v>255</v>
      </c>
    </row>
    <row r="214" spans="11:11" x14ac:dyDescent="0.25">
      <c r="K214" t="s">
        <v>256</v>
      </c>
    </row>
    <row r="215" spans="11:11" x14ac:dyDescent="0.25">
      <c r="K215" t="s">
        <v>257</v>
      </c>
    </row>
    <row r="216" spans="11:11" x14ac:dyDescent="0.25">
      <c r="K216" t="s">
        <v>258</v>
      </c>
    </row>
    <row r="217" spans="11:11" x14ac:dyDescent="0.25">
      <c r="K217" t="s">
        <v>259</v>
      </c>
    </row>
    <row r="218" spans="11:11" x14ac:dyDescent="0.25">
      <c r="K218" t="s">
        <v>260</v>
      </c>
    </row>
    <row r="219" spans="11:11" x14ac:dyDescent="0.25">
      <c r="K219" t="s">
        <v>261</v>
      </c>
    </row>
    <row r="220" spans="11:11" x14ac:dyDescent="0.25">
      <c r="K220" t="s">
        <v>262</v>
      </c>
    </row>
    <row r="221" spans="11:11" x14ac:dyDescent="0.25">
      <c r="K221" t="s">
        <v>263</v>
      </c>
    </row>
    <row r="222" spans="11:11" x14ac:dyDescent="0.25">
      <c r="K222" t="s">
        <v>264</v>
      </c>
    </row>
    <row r="223" spans="11:11" x14ac:dyDescent="0.25">
      <c r="K223" t="s">
        <v>265</v>
      </c>
    </row>
    <row r="224" spans="11:11" x14ac:dyDescent="0.25">
      <c r="K224" t="s">
        <v>266</v>
      </c>
    </row>
    <row r="225" spans="11:11" x14ac:dyDescent="0.25">
      <c r="K225" t="s">
        <v>267</v>
      </c>
    </row>
    <row r="226" spans="11:11" x14ac:dyDescent="0.25">
      <c r="K226" t="s">
        <v>268</v>
      </c>
    </row>
    <row r="227" spans="11:11" x14ac:dyDescent="0.25">
      <c r="K227" t="s">
        <v>269</v>
      </c>
    </row>
    <row r="228" spans="11:11" x14ac:dyDescent="0.25">
      <c r="K228" t="s">
        <v>270</v>
      </c>
    </row>
    <row r="229" spans="11:11" x14ac:dyDescent="0.25">
      <c r="K229" t="s">
        <v>271</v>
      </c>
    </row>
    <row r="230" spans="11:11" x14ac:dyDescent="0.25">
      <c r="K230" t="s">
        <v>272</v>
      </c>
    </row>
    <row r="231" spans="11:11" x14ac:dyDescent="0.25">
      <c r="K231" t="s">
        <v>273</v>
      </c>
    </row>
    <row r="232" spans="11:11" x14ac:dyDescent="0.25">
      <c r="K232" t="s">
        <v>274</v>
      </c>
    </row>
    <row r="233" spans="11:11" x14ac:dyDescent="0.25">
      <c r="K233" t="s">
        <v>275</v>
      </c>
    </row>
    <row r="234" spans="11:11" x14ac:dyDescent="0.25">
      <c r="K234" t="s">
        <v>276</v>
      </c>
    </row>
    <row r="235" spans="11:11" x14ac:dyDescent="0.25">
      <c r="K235" t="s">
        <v>277</v>
      </c>
    </row>
    <row r="236" spans="11:11" x14ac:dyDescent="0.25">
      <c r="K236" t="s">
        <v>278</v>
      </c>
    </row>
    <row r="237" spans="11:11" x14ac:dyDescent="0.25">
      <c r="K237" t="s">
        <v>279</v>
      </c>
    </row>
    <row r="238" spans="11:11" x14ac:dyDescent="0.25">
      <c r="K238" t="s">
        <v>280</v>
      </c>
    </row>
    <row r="239" spans="11:11" x14ac:dyDescent="0.25">
      <c r="K239" t="s">
        <v>281</v>
      </c>
    </row>
    <row r="240" spans="11:11" x14ac:dyDescent="0.25">
      <c r="K240" t="s">
        <v>282</v>
      </c>
    </row>
    <row r="241" spans="11:11" x14ac:dyDescent="0.25">
      <c r="K241" t="s">
        <v>283</v>
      </c>
    </row>
    <row r="242" spans="11:11" x14ac:dyDescent="0.25">
      <c r="K242" t="s">
        <v>284</v>
      </c>
    </row>
    <row r="243" spans="11:11" x14ac:dyDescent="0.25">
      <c r="K243" t="s">
        <v>285</v>
      </c>
    </row>
    <row r="244" spans="11:11" x14ac:dyDescent="0.25">
      <c r="K244" t="s">
        <v>286</v>
      </c>
    </row>
    <row r="245" spans="11:11" x14ac:dyDescent="0.25">
      <c r="K245" t="s">
        <v>287</v>
      </c>
    </row>
    <row r="246" spans="11:11" x14ac:dyDescent="0.25">
      <c r="K246" t="s">
        <v>288</v>
      </c>
    </row>
    <row r="247" spans="11:11" x14ac:dyDescent="0.25">
      <c r="K247" t="s">
        <v>289</v>
      </c>
    </row>
    <row r="248" spans="11:11" x14ac:dyDescent="0.25">
      <c r="K248" t="s">
        <v>290</v>
      </c>
    </row>
    <row r="249" spans="11:11" x14ac:dyDescent="0.25">
      <c r="K249" t="s">
        <v>291</v>
      </c>
    </row>
    <row r="250" spans="11:11" x14ac:dyDescent="0.25">
      <c r="K250" t="s">
        <v>292</v>
      </c>
    </row>
    <row r="251" spans="11:11" x14ac:dyDescent="0.25">
      <c r="K251" t="s">
        <v>293</v>
      </c>
    </row>
    <row r="252" spans="11:11" x14ac:dyDescent="0.25">
      <c r="K252" t="s">
        <v>294</v>
      </c>
    </row>
    <row r="253" spans="11:11" x14ac:dyDescent="0.25">
      <c r="K253" t="s">
        <v>295</v>
      </c>
    </row>
    <row r="254" spans="11:11" x14ac:dyDescent="0.25">
      <c r="K254" t="s">
        <v>296</v>
      </c>
    </row>
    <row r="255" spans="11:11" x14ac:dyDescent="0.25">
      <c r="K255" t="s">
        <v>297</v>
      </c>
    </row>
    <row r="256" spans="11:11" x14ac:dyDescent="0.25">
      <c r="K256" t="s">
        <v>298</v>
      </c>
    </row>
    <row r="257" spans="11:11" x14ac:dyDescent="0.25">
      <c r="K257" t="s">
        <v>299</v>
      </c>
    </row>
    <row r="258" spans="11:11" x14ac:dyDescent="0.25">
      <c r="K258" t="s">
        <v>300</v>
      </c>
    </row>
    <row r="259" spans="11:11" x14ac:dyDescent="0.25">
      <c r="K259" t="s">
        <v>301</v>
      </c>
    </row>
    <row r="260" spans="11:11" x14ac:dyDescent="0.25">
      <c r="K260" t="s">
        <v>302</v>
      </c>
    </row>
    <row r="261" spans="11:11" x14ac:dyDescent="0.25">
      <c r="K261" t="s">
        <v>303</v>
      </c>
    </row>
    <row r="262" spans="11:11" x14ac:dyDescent="0.25">
      <c r="K262" t="s">
        <v>304</v>
      </c>
    </row>
    <row r="263" spans="11:11" x14ac:dyDescent="0.25">
      <c r="K263" t="s">
        <v>305</v>
      </c>
    </row>
    <row r="264" spans="11:11" x14ac:dyDescent="0.25">
      <c r="K264" t="s">
        <v>306</v>
      </c>
    </row>
    <row r="265" spans="11:11" x14ac:dyDescent="0.25">
      <c r="K265" t="s">
        <v>307</v>
      </c>
    </row>
    <row r="266" spans="11:11" x14ac:dyDescent="0.25">
      <c r="K266" t="s">
        <v>308</v>
      </c>
    </row>
    <row r="267" spans="11:11" x14ac:dyDescent="0.25">
      <c r="K267" t="s">
        <v>309</v>
      </c>
    </row>
    <row r="268" spans="11:11" x14ac:dyDescent="0.25">
      <c r="K268" t="s">
        <v>310</v>
      </c>
    </row>
    <row r="269" spans="11:11" x14ac:dyDescent="0.25">
      <c r="K269" t="s">
        <v>311</v>
      </c>
    </row>
    <row r="270" spans="11:11" x14ac:dyDescent="0.25">
      <c r="K270" t="s">
        <v>312</v>
      </c>
    </row>
    <row r="271" spans="11:11" x14ac:dyDescent="0.25">
      <c r="K271" t="s">
        <v>313</v>
      </c>
    </row>
    <row r="272" spans="11:11" x14ac:dyDescent="0.25">
      <c r="K272" t="s">
        <v>314</v>
      </c>
    </row>
    <row r="273" spans="11:11" x14ac:dyDescent="0.25">
      <c r="K273" t="s">
        <v>315</v>
      </c>
    </row>
    <row r="274" spans="11:11" x14ac:dyDescent="0.25">
      <c r="K274" t="s">
        <v>316</v>
      </c>
    </row>
    <row r="275" spans="11:11" x14ac:dyDescent="0.25">
      <c r="K275" t="s">
        <v>317</v>
      </c>
    </row>
    <row r="276" spans="11:11" x14ac:dyDescent="0.25">
      <c r="K276" t="s">
        <v>318</v>
      </c>
    </row>
    <row r="277" spans="11:11" x14ac:dyDescent="0.25">
      <c r="K277" t="s">
        <v>319</v>
      </c>
    </row>
    <row r="278" spans="11:11" x14ac:dyDescent="0.25">
      <c r="K278" t="s">
        <v>320</v>
      </c>
    </row>
    <row r="279" spans="11:11" x14ac:dyDescent="0.25">
      <c r="K279" t="s">
        <v>321</v>
      </c>
    </row>
    <row r="280" spans="11:11" x14ac:dyDescent="0.25">
      <c r="K280" t="s">
        <v>322</v>
      </c>
    </row>
    <row r="281" spans="11:11" x14ac:dyDescent="0.25">
      <c r="K281" t="s">
        <v>323</v>
      </c>
    </row>
    <row r="282" spans="11:11" x14ac:dyDescent="0.25">
      <c r="K282" t="s">
        <v>324</v>
      </c>
    </row>
    <row r="283" spans="11:11" x14ac:dyDescent="0.25">
      <c r="K283" t="s">
        <v>325</v>
      </c>
    </row>
    <row r="284" spans="11:11" x14ac:dyDescent="0.25">
      <c r="K284" t="s">
        <v>326</v>
      </c>
    </row>
    <row r="285" spans="11:11" x14ac:dyDescent="0.25">
      <c r="K285" t="s">
        <v>327</v>
      </c>
    </row>
    <row r="286" spans="11:11" x14ac:dyDescent="0.25">
      <c r="K286" t="s">
        <v>328</v>
      </c>
    </row>
    <row r="287" spans="11:11" x14ac:dyDescent="0.25">
      <c r="K287" t="s">
        <v>329</v>
      </c>
    </row>
    <row r="288" spans="11:11" x14ac:dyDescent="0.25">
      <c r="K288" t="s">
        <v>330</v>
      </c>
    </row>
    <row r="289" spans="11:11" x14ac:dyDescent="0.25">
      <c r="K289" t="s">
        <v>331</v>
      </c>
    </row>
    <row r="290" spans="11:11" x14ac:dyDescent="0.25">
      <c r="K290" t="s">
        <v>332</v>
      </c>
    </row>
    <row r="291" spans="11:11" x14ac:dyDescent="0.25">
      <c r="K291" t="s">
        <v>333</v>
      </c>
    </row>
    <row r="292" spans="11:11" x14ac:dyDescent="0.25">
      <c r="K292" t="s">
        <v>334</v>
      </c>
    </row>
    <row r="293" spans="11:11" x14ac:dyDescent="0.25">
      <c r="K293" t="s">
        <v>335</v>
      </c>
    </row>
    <row r="294" spans="11:11" x14ac:dyDescent="0.25">
      <c r="K294" t="s">
        <v>336</v>
      </c>
    </row>
    <row r="295" spans="11:11" x14ac:dyDescent="0.25">
      <c r="K295" t="s">
        <v>337</v>
      </c>
    </row>
    <row r="296" spans="11:11" x14ac:dyDescent="0.25">
      <c r="K296" t="s">
        <v>338</v>
      </c>
    </row>
    <row r="297" spans="11:11" x14ac:dyDescent="0.25">
      <c r="K297" t="s">
        <v>339</v>
      </c>
    </row>
    <row r="298" spans="11:11" x14ac:dyDescent="0.25">
      <c r="K298" t="s">
        <v>340</v>
      </c>
    </row>
    <row r="299" spans="11:11" x14ac:dyDescent="0.25">
      <c r="K299" t="s">
        <v>341</v>
      </c>
    </row>
    <row r="300" spans="11:11" x14ac:dyDescent="0.25">
      <c r="K300" t="s">
        <v>342</v>
      </c>
    </row>
    <row r="301" spans="11:11" x14ac:dyDescent="0.25">
      <c r="K301" t="s">
        <v>343</v>
      </c>
    </row>
    <row r="302" spans="11:11" x14ac:dyDescent="0.25">
      <c r="K302" t="s">
        <v>344</v>
      </c>
    </row>
    <row r="303" spans="11:11" x14ac:dyDescent="0.25">
      <c r="K303" t="s">
        <v>345</v>
      </c>
    </row>
    <row r="304" spans="11:11" x14ac:dyDescent="0.25">
      <c r="K304" t="s">
        <v>346</v>
      </c>
    </row>
    <row r="305" spans="11:11" x14ac:dyDescent="0.25">
      <c r="K305" t="s">
        <v>347</v>
      </c>
    </row>
    <row r="306" spans="11:11" x14ac:dyDescent="0.25">
      <c r="K306" t="s">
        <v>348</v>
      </c>
    </row>
    <row r="307" spans="11:11" x14ac:dyDescent="0.25">
      <c r="K307" t="s">
        <v>349</v>
      </c>
    </row>
    <row r="308" spans="11:11" x14ac:dyDescent="0.25">
      <c r="K308" t="s">
        <v>350</v>
      </c>
    </row>
    <row r="309" spans="11:11" x14ac:dyDescent="0.25">
      <c r="K309" t="s">
        <v>351</v>
      </c>
    </row>
    <row r="310" spans="11:11" x14ac:dyDescent="0.25">
      <c r="K310" t="s">
        <v>352</v>
      </c>
    </row>
    <row r="311" spans="11:11" x14ac:dyDescent="0.25">
      <c r="K311" t="s">
        <v>353</v>
      </c>
    </row>
    <row r="312" spans="11:11" x14ac:dyDescent="0.25">
      <c r="K312" t="s">
        <v>354</v>
      </c>
    </row>
    <row r="313" spans="11:11" x14ac:dyDescent="0.25">
      <c r="K313" t="s">
        <v>355</v>
      </c>
    </row>
    <row r="314" spans="11:11" x14ac:dyDescent="0.25">
      <c r="K314" t="s">
        <v>356</v>
      </c>
    </row>
    <row r="315" spans="11:11" x14ac:dyDescent="0.25">
      <c r="K315" t="s">
        <v>357</v>
      </c>
    </row>
    <row r="316" spans="11:11" x14ac:dyDescent="0.25">
      <c r="K316" t="s">
        <v>358</v>
      </c>
    </row>
    <row r="317" spans="11:11" x14ac:dyDescent="0.25">
      <c r="K317" t="s">
        <v>359</v>
      </c>
    </row>
    <row r="318" spans="11:11" x14ac:dyDescent="0.25">
      <c r="K318" t="s">
        <v>360</v>
      </c>
    </row>
    <row r="319" spans="11:11" x14ac:dyDescent="0.25">
      <c r="K319" t="s">
        <v>361</v>
      </c>
    </row>
    <row r="320" spans="11:11" x14ac:dyDescent="0.25">
      <c r="K320" t="s">
        <v>362</v>
      </c>
    </row>
    <row r="321" spans="11:11" x14ac:dyDescent="0.25">
      <c r="K321" t="s">
        <v>363</v>
      </c>
    </row>
    <row r="322" spans="11:11" x14ac:dyDescent="0.25">
      <c r="K322" t="s">
        <v>364</v>
      </c>
    </row>
    <row r="323" spans="11:11" x14ac:dyDescent="0.25">
      <c r="K323" t="s">
        <v>365</v>
      </c>
    </row>
    <row r="324" spans="11:11" x14ac:dyDescent="0.25">
      <c r="K324" t="s">
        <v>366</v>
      </c>
    </row>
    <row r="325" spans="11:11" x14ac:dyDescent="0.25">
      <c r="K325" t="s">
        <v>367</v>
      </c>
    </row>
    <row r="326" spans="11:11" x14ac:dyDescent="0.25">
      <c r="K326" t="s">
        <v>368</v>
      </c>
    </row>
    <row r="327" spans="11:11" x14ac:dyDescent="0.25">
      <c r="K327" t="s">
        <v>369</v>
      </c>
    </row>
    <row r="328" spans="11:11" x14ac:dyDescent="0.25">
      <c r="K328" t="s">
        <v>370</v>
      </c>
    </row>
    <row r="329" spans="11:11" x14ac:dyDescent="0.25">
      <c r="K329" t="s">
        <v>371</v>
      </c>
    </row>
    <row r="330" spans="11:11" x14ac:dyDescent="0.25">
      <c r="K330" t="s">
        <v>372</v>
      </c>
    </row>
    <row r="331" spans="11:11" x14ac:dyDescent="0.25">
      <c r="K331" t="s">
        <v>373</v>
      </c>
    </row>
    <row r="332" spans="11:11" x14ac:dyDescent="0.25">
      <c r="K332" t="s">
        <v>374</v>
      </c>
    </row>
    <row r="333" spans="11:11" x14ac:dyDescent="0.25">
      <c r="K333" t="s">
        <v>375</v>
      </c>
    </row>
    <row r="334" spans="11:11" x14ac:dyDescent="0.25">
      <c r="K334" t="s">
        <v>376</v>
      </c>
    </row>
    <row r="335" spans="11:11" x14ac:dyDescent="0.25">
      <c r="K335" t="s">
        <v>377</v>
      </c>
    </row>
    <row r="336" spans="11:11" x14ac:dyDescent="0.25">
      <c r="K336" t="s">
        <v>378</v>
      </c>
    </row>
    <row r="337" spans="11:11" x14ac:dyDescent="0.25">
      <c r="K337" t="s">
        <v>379</v>
      </c>
    </row>
    <row r="338" spans="11:11" x14ac:dyDescent="0.25">
      <c r="K338" t="s">
        <v>380</v>
      </c>
    </row>
    <row r="339" spans="11:11" x14ac:dyDescent="0.25">
      <c r="K339" t="s">
        <v>381</v>
      </c>
    </row>
    <row r="340" spans="11:11" x14ac:dyDescent="0.25">
      <c r="K340" t="s">
        <v>382</v>
      </c>
    </row>
    <row r="341" spans="11:11" x14ac:dyDescent="0.25">
      <c r="K341" t="s">
        <v>383</v>
      </c>
    </row>
    <row r="342" spans="11:11" x14ac:dyDescent="0.25">
      <c r="K342" t="s">
        <v>384</v>
      </c>
    </row>
    <row r="343" spans="11:11" x14ac:dyDescent="0.25">
      <c r="K343" t="s">
        <v>385</v>
      </c>
    </row>
    <row r="344" spans="11:11" x14ac:dyDescent="0.25">
      <c r="K344" t="s">
        <v>386</v>
      </c>
    </row>
    <row r="345" spans="11:11" x14ac:dyDescent="0.25">
      <c r="K345" t="s">
        <v>387</v>
      </c>
    </row>
    <row r="346" spans="11:11" x14ac:dyDescent="0.25">
      <c r="K346" t="s">
        <v>388</v>
      </c>
    </row>
    <row r="347" spans="11:11" x14ac:dyDescent="0.25">
      <c r="K347" t="s">
        <v>389</v>
      </c>
    </row>
    <row r="348" spans="11:11" x14ac:dyDescent="0.25">
      <c r="K348" t="s">
        <v>390</v>
      </c>
    </row>
    <row r="349" spans="11:11" x14ac:dyDescent="0.25">
      <c r="K349" t="s">
        <v>391</v>
      </c>
    </row>
    <row r="350" spans="11:11" x14ac:dyDescent="0.25">
      <c r="K350" t="s">
        <v>392</v>
      </c>
    </row>
    <row r="351" spans="11:11" x14ac:dyDescent="0.25">
      <c r="K351" t="s">
        <v>393</v>
      </c>
    </row>
    <row r="352" spans="11:11" x14ac:dyDescent="0.25">
      <c r="K352" t="s">
        <v>394</v>
      </c>
    </row>
    <row r="353" spans="11:11" x14ac:dyDescent="0.25">
      <c r="K353" t="s">
        <v>395</v>
      </c>
    </row>
    <row r="354" spans="11:11" x14ac:dyDescent="0.25">
      <c r="K354" t="s">
        <v>396</v>
      </c>
    </row>
    <row r="355" spans="11:11" x14ac:dyDescent="0.25">
      <c r="K355" t="s">
        <v>397</v>
      </c>
    </row>
    <row r="356" spans="11:11" x14ac:dyDescent="0.25">
      <c r="K356" t="s">
        <v>398</v>
      </c>
    </row>
    <row r="357" spans="11:11" x14ac:dyDescent="0.25">
      <c r="K357" t="s">
        <v>399</v>
      </c>
    </row>
    <row r="358" spans="11:11" x14ac:dyDescent="0.25">
      <c r="K358" t="s">
        <v>400</v>
      </c>
    </row>
    <row r="359" spans="11:11" x14ac:dyDescent="0.25">
      <c r="K359" t="s">
        <v>401</v>
      </c>
    </row>
    <row r="360" spans="11:11" x14ac:dyDescent="0.25">
      <c r="K360" t="s">
        <v>402</v>
      </c>
    </row>
    <row r="361" spans="11:11" x14ac:dyDescent="0.25">
      <c r="K361" t="s">
        <v>403</v>
      </c>
    </row>
    <row r="362" spans="11:11" x14ac:dyDescent="0.25">
      <c r="K362" t="s">
        <v>404</v>
      </c>
    </row>
    <row r="363" spans="11:11" x14ac:dyDescent="0.25">
      <c r="K363" t="s">
        <v>405</v>
      </c>
    </row>
    <row r="364" spans="11:11" x14ac:dyDescent="0.25">
      <c r="K364" t="s">
        <v>406</v>
      </c>
    </row>
    <row r="365" spans="11:11" x14ac:dyDescent="0.25">
      <c r="K365" t="s">
        <v>407</v>
      </c>
    </row>
    <row r="366" spans="11:11" x14ac:dyDescent="0.25">
      <c r="K366" t="s">
        <v>408</v>
      </c>
    </row>
    <row r="367" spans="11:11" x14ac:dyDescent="0.25">
      <c r="K367" t="s">
        <v>409</v>
      </c>
    </row>
    <row r="368" spans="11:11" x14ac:dyDescent="0.25">
      <c r="K368" t="s">
        <v>410</v>
      </c>
    </row>
    <row r="369" spans="11:11" x14ac:dyDescent="0.25">
      <c r="K369" t="s">
        <v>411</v>
      </c>
    </row>
    <row r="370" spans="11:11" x14ac:dyDescent="0.25">
      <c r="K370" t="s">
        <v>412</v>
      </c>
    </row>
    <row r="371" spans="11:11" x14ac:dyDescent="0.25">
      <c r="K371" t="s">
        <v>413</v>
      </c>
    </row>
    <row r="372" spans="11:11" x14ac:dyDescent="0.25">
      <c r="K372" t="s">
        <v>414</v>
      </c>
    </row>
    <row r="373" spans="11:11" x14ac:dyDescent="0.25">
      <c r="K373" t="s">
        <v>415</v>
      </c>
    </row>
    <row r="374" spans="11:11" x14ac:dyDescent="0.25">
      <c r="K374" t="s">
        <v>416</v>
      </c>
    </row>
    <row r="375" spans="11:11" x14ac:dyDescent="0.25">
      <c r="K375" t="s">
        <v>417</v>
      </c>
    </row>
    <row r="376" spans="11:11" x14ac:dyDescent="0.25">
      <c r="K376" t="s">
        <v>418</v>
      </c>
    </row>
    <row r="377" spans="11:11" x14ac:dyDescent="0.25">
      <c r="K377" t="s">
        <v>419</v>
      </c>
    </row>
    <row r="378" spans="11:11" x14ac:dyDescent="0.25">
      <c r="K378" t="s">
        <v>420</v>
      </c>
    </row>
    <row r="379" spans="11:11" x14ac:dyDescent="0.25">
      <c r="K379" t="s">
        <v>421</v>
      </c>
    </row>
    <row r="380" spans="11:11" x14ac:dyDescent="0.25">
      <c r="K380" t="s">
        <v>422</v>
      </c>
    </row>
    <row r="381" spans="11:11" x14ac:dyDescent="0.25">
      <c r="K381" t="s">
        <v>423</v>
      </c>
    </row>
    <row r="382" spans="11:11" x14ac:dyDescent="0.25">
      <c r="K382" t="s">
        <v>424</v>
      </c>
    </row>
    <row r="383" spans="11:11" x14ac:dyDescent="0.25">
      <c r="K383" t="s">
        <v>425</v>
      </c>
    </row>
    <row r="384" spans="11:11" x14ac:dyDescent="0.25">
      <c r="K384" t="s">
        <v>426</v>
      </c>
    </row>
    <row r="385" spans="11:11" x14ac:dyDescent="0.25">
      <c r="K385" t="s">
        <v>427</v>
      </c>
    </row>
    <row r="386" spans="11:11" x14ac:dyDescent="0.25">
      <c r="K386" t="s">
        <v>428</v>
      </c>
    </row>
    <row r="387" spans="11:11" x14ac:dyDescent="0.25">
      <c r="K387" t="s">
        <v>429</v>
      </c>
    </row>
    <row r="388" spans="11:11" x14ac:dyDescent="0.25">
      <c r="K388" t="s">
        <v>430</v>
      </c>
    </row>
    <row r="389" spans="11:11" x14ac:dyDescent="0.25">
      <c r="K389" t="s">
        <v>431</v>
      </c>
    </row>
    <row r="390" spans="11:11" x14ac:dyDescent="0.25">
      <c r="K390" t="s">
        <v>432</v>
      </c>
    </row>
    <row r="391" spans="11:11" x14ac:dyDescent="0.25">
      <c r="K391" t="s">
        <v>433</v>
      </c>
    </row>
    <row r="392" spans="11:11" x14ac:dyDescent="0.25">
      <c r="K392" t="s">
        <v>434</v>
      </c>
    </row>
    <row r="393" spans="11:11" x14ac:dyDescent="0.25">
      <c r="K393" t="s">
        <v>435</v>
      </c>
    </row>
    <row r="394" spans="11:11" x14ac:dyDescent="0.25">
      <c r="K394" t="s">
        <v>436</v>
      </c>
    </row>
    <row r="395" spans="11:11" x14ac:dyDescent="0.25">
      <c r="K395" t="s">
        <v>437</v>
      </c>
    </row>
    <row r="396" spans="11:11" x14ac:dyDescent="0.25">
      <c r="K396" t="s">
        <v>438</v>
      </c>
    </row>
    <row r="397" spans="11:11" x14ac:dyDescent="0.25">
      <c r="K397" t="s">
        <v>439</v>
      </c>
    </row>
    <row r="398" spans="11:11" x14ac:dyDescent="0.25">
      <c r="K398" t="s">
        <v>440</v>
      </c>
    </row>
    <row r="399" spans="11:11" x14ac:dyDescent="0.25">
      <c r="K399" t="s">
        <v>441</v>
      </c>
    </row>
    <row r="400" spans="11:11" x14ac:dyDescent="0.25">
      <c r="K400" t="s">
        <v>442</v>
      </c>
    </row>
    <row r="401" spans="11:11" x14ac:dyDescent="0.25">
      <c r="K401" t="s">
        <v>443</v>
      </c>
    </row>
    <row r="402" spans="11:11" x14ac:dyDescent="0.25">
      <c r="K402" t="s">
        <v>444</v>
      </c>
    </row>
    <row r="403" spans="11:11" x14ac:dyDescent="0.25">
      <c r="K403" t="s">
        <v>445</v>
      </c>
    </row>
    <row r="404" spans="11:11" x14ac:dyDescent="0.25">
      <c r="K404" t="s">
        <v>446</v>
      </c>
    </row>
    <row r="405" spans="11:11" x14ac:dyDescent="0.25">
      <c r="K405" t="s">
        <v>447</v>
      </c>
    </row>
    <row r="406" spans="11:11" x14ac:dyDescent="0.25">
      <c r="K406" t="s">
        <v>448</v>
      </c>
    </row>
    <row r="407" spans="11:11" x14ac:dyDescent="0.25">
      <c r="K407" t="s">
        <v>449</v>
      </c>
    </row>
    <row r="408" spans="11:11" x14ac:dyDescent="0.25">
      <c r="K408" t="s">
        <v>450</v>
      </c>
    </row>
    <row r="409" spans="11:11" x14ac:dyDescent="0.25">
      <c r="K409" t="s">
        <v>451</v>
      </c>
    </row>
    <row r="410" spans="11:11" x14ac:dyDescent="0.25">
      <c r="K410" t="s">
        <v>452</v>
      </c>
    </row>
    <row r="411" spans="11:11" x14ac:dyDescent="0.25">
      <c r="K411" t="s">
        <v>453</v>
      </c>
    </row>
    <row r="412" spans="11:11" x14ac:dyDescent="0.25">
      <c r="K412" t="s">
        <v>454</v>
      </c>
    </row>
    <row r="413" spans="11:11" x14ac:dyDescent="0.25">
      <c r="K413" t="s">
        <v>455</v>
      </c>
    </row>
    <row r="414" spans="11:11" x14ac:dyDescent="0.25">
      <c r="K414" t="s">
        <v>456</v>
      </c>
    </row>
    <row r="415" spans="11:11" x14ac:dyDescent="0.25">
      <c r="K415" t="s">
        <v>457</v>
      </c>
    </row>
    <row r="416" spans="11:11" x14ac:dyDescent="0.25">
      <c r="K416" t="s">
        <v>458</v>
      </c>
    </row>
    <row r="417" spans="11:11" x14ac:dyDescent="0.25">
      <c r="K417" t="s">
        <v>459</v>
      </c>
    </row>
    <row r="418" spans="11:11" x14ac:dyDescent="0.25">
      <c r="K418" t="s">
        <v>460</v>
      </c>
    </row>
    <row r="419" spans="11:11" x14ac:dyDescent="0.25">
      <c r="K419" t="s">
        <v>461</v>
      </c>
    </row>
    <row r="420" spans="11:11" x14ac:dyDescent="0.25">
      <c r="K420" t="s">
        <v>462</v>
      </c>
    </row>
    <row r="421" spans="11:11" x14ac:dyDescent="0.25">
      <c r="K421" t="s">
        <v>463</v>
      </c>
    </row>
    <row r="422" spans="11:11" x14ac:dyDescent="0.25">
      <c r="K422" t="s">
        <v>464</v>
      </c>
    </row>
    <row r="423" spans="11:11" x14ac:dyDescent="0.25">
      <c r="K423" t="s">
        <v>465</v>
      </c>
    </row>
    <row r="424" spans="11:11" x14ac:dyDescent="0.25">
      <c r="K424" t="s">
        <v>466</v>
      </c>
    </row>
    <row r="425" spans="11:11" x14ac:dyDescent="0.25">
      <c r="K425" t="s">
        <v>467</v>
      </c>
    </row>
    <row r="426" spans="11:11" x14ac:dyDescent="0.25">
      <c r="K426" t="s">
        <v>468</v>
      </c>
    </row>
    <row r="427" spans="11:11" x14ac:dyDescent="0.25">
      <c r="K427" t="s">
        <v>469</v>
      </c>
    </row>
    <row r="428" spans="11:11" x14ac:dyDescent="0.25">
      <c r="K428" t="s">
        <v>470</v>
      </c>
    </row>
    <row r="429" spans="11:11" x14ac:dyDescent="0.25">
      <c r="K429" t="s">
        <v>471</v>
      </c>
    </row>
    <row r="430" spans="11:11" x14ac:dyDescent="0.25">
      <c r="K430" t="s">
        <v>472</v>
      </c>
    </row>
    <row r="431" spans="11:11" x14ac:dyDescent="0.25">
      <c r="K431" t="s">
        <v>473</v>
      </c>
    </row>
    <row r="432" spans="11:11" x14ac:dyDescent="0.25">
      <c r="K432" t="s">
        <v>474</v>
      </c>
    </row>
    <row r="433" spans="11:11" x14ac:dyDescent="0.25">
      <c r="K433" t="s">
        <v>475</v>
      </c>
    </row>
    <row r="434" spans="11:11" x14ac:dyDescent="0.25">
      <c r="K434" t="s">
        <v>476</v>
      </c>
    </row>
    <row r="435" spans="11:11" x14ac:dyDescent="0.25">
      <c r="K435" t="s">
        <v>477</v>
      </c>
    </row>
    <row r="436" spans="11:11" x14ac:dyDescent="0.25">
      <c r="K436" t="s">
        <v>478</v>
      </c>
    </row>
    <row r="437" spans="11:11" x14ac:dyDescent="0.25">
      <c r="K437" t="s">
        <v>479</v>
      </c>
    </row>
    <row r="438" spans="11:11" x14ac:dyDescent="0.25">
      <c r="K438" t="s">
        <v>480</v>
      </c>
    </row>
    <row r="439" spans="11:11" x14ac:dyDescent="0.25">
      <c r="K439" t="s">
        <v>481</v>
      </c>
    </row>
    <row r="440" spans="11:11" x14ac:dyDescent="0.25">
      <c r="K440" t="s">
        <v>482</v>
      </c>
    </row>
    <row r="441" spans="11:11" x14ac:dyDescent="0.25">
      <c r="K441" t="s">
        <v>483</v>
      </c>
    </row>
    <row r="442" spans="11:11" x14ac:dyDescent="0.25">
      <c r="K442" t="s">
        <v>484</v>
      </c>
    </row>
    <row r="443" spans="11:11" x14ac:dyDescent="0.25">
      <c r="K443" t="s">
        <v>485</v>
      </c>
    </row>
    <row r="444" spans="11:11" x14ac:dyDescent="0.25">
      <c r="K444" t="s">
        <v>486</v>
      </c>
    </row>
    <row r="445" spans="11:11" x14ac:dyDescent="0.25">
      <c r="K445" t="s">
        <v>487</v>
      </c>
    </row>
    <row r="446" spans="11:11" x14ac:dyDescent="0.25">
      <c r="K446" t="s">
        <v>488</v>
      </c>
    </row>
    <row r="447" spans="11:11" x14ac:dyDescent="0.25">
      <c r="K447" t="s">
        <v>489</v>
      </c>
    </row>
    <row r="448" spans="11:11" x14ac:dyDescent="0.25">
      <c r="K448" t="s">
        <v>490</v>
      </c>
    </row>
    <row r="449" spans="11:11" x14ac:dyDescent="0.25">
      <c r="K449" t="s">
        <v>491</v>
      </c>
    </row>
    <row r="450" spans="11:11" x14ac:dyDescent="0.25">
      <c r="K450" t="s">
        <v>492</v>
      </c>
    </row>
    <row r="451" spans="11:11" x14ac:dyDescent="0.25">
      <c r="K451" t="s">
        <v>493</v>
      </c>
    </row>
    <row r="452" spans="11:11" x14ac:dyDescent="0.25">
      <c r="K452" t="s">
        <v>494</v>
      </c>
    </row>
    <row r="453" spans="11:11" x14ac:dyDescent="0.25">
      <c r="K453" t="s">
        <v>495</v>
      </c>
    </row>
    <row r="454" spans="11:11" x14ac:dyDescent="0.25">
      <c r="K454" t="s">
        <v>496</v>
      </c>
    </row>
    <row r="455" spans="11:11" x14ac:dyDescent="0.25">
      <c r="K455" t="s">
        <v>497</v>
      </c>
    </row>
    <row r="456" spans="11:11" x14ac:dyDescent="0.25">
      <c r="K456" t="s">
        <v>498</v>
      </c>
    </row>
    <row r="457" spans="11:11" x14ac:dyDescent="0.25">
      <c r="K457" t="s">
        <v>499</v>
      </c>
    </row>
    <row r="458" spans="11:11" x14ac:dyDescent="0.25">
      <c r="K458" t="s">
        <v>500</v>
      </c>
    </row>
    <row r="459" spans="11:11" x14ac:dyDescent="0.25">
      <c r="K459" t="s">
        <v>501</v>
      </c>
    </row>
    <row r="460" spans="11:11" x14ac:dyDescent="0.25">
      <c r="K460" t="s">
        <v>502</v>
      </c>
    </row>
    <row r="461" spans="11:11" x14ac:dyDescent="0.25">
      <c r="K461" t="s">
        <v>503</v>
      </c>
    </row>
    <row r="462" spans="11:11" x14ac:dyDescent="0.25">
      <c r="K462" t="s">
        <v>504</v>
      </c>
    </row>
    <row r="463" spans="11:11" x14ac:dyDescent="0.25">
      <c r="K463" t="s">
        <v>505</v>
      </c>
    </row>
    <row r="464" spans="11:11" x14ac:dyDescent="0.25">
      <c r="K464" t="s">
        <v>506</v>
      </c>
    </row>
    <row r="465" spans="11:11" x14ac:dyDescent="0.25">
      <c r="K465" t="s">
        <v>507</v>
      </c>
    </row>
    <row r="466" spans="11:11" x14ac:dyDescent="0.25">
      <c r="K466" t="s">
        <v>508</v>
      </c>
    </row>
    <row r="467" spans="11:11" x14ac:dyDescent="0.25">
      <c r="K467" t="s">
        <v>509</v>
      </c>
    </row>
    <row r="468" spans="11:11" x14ac:dyDescent="0.25">
      <c r="K468" t="s">
        <v>510</v>
      </c>
    </row>
    <row r="469" spans="11:11" x14ac:dyDescent="0.25">
      <c r="K469" t="s">
        <v>511</v>
      </c>
    </row>
    <row r="470" spans="11:11" x14ac:dyDescent="0.25">
      <c r="K470" t="s">
        <v>512</v>
      </c>
    </row>
    <row r="471" spans="11:11" x14ac:dyDescent="0.25">
      <c r="K471" t="s">
        <v>513</v>
      </c>
    </row>
    <row r="472" spans="11:11" x14ac:dyDescent="0.25">
      <c r="K472" t="s">
        <v>514</v>
      </c>
    </row>
    <row r="473" spans="11:11" x14ac:dyDescent="0.25">
      <c r="K473" t="s">
        <v>515</v>
      </c>
    </row>
    <row r="474" spans="11:11" x14ac:dyDescent="0.25">
      <c r="K474" t="s">
        <v>516</v>
      </c>
    </row>
    <row r="475" spans="11:11" x14ac:dyDescent="0.25">
      <c r="K475" t="s">
        <v>517</v>
      </c>
    </row>
    <row r="476" spans="11:11" x14ac:dyDescent="0.25">
      <c r="K476" t="s">
        <v>518</v>
      </c>
    </row>
    <row r="477" spans="11:11" x14ac:dyDescent="0.25">
      <c r="K477" t="s">
        <v>519</v>
      </c>
    </row>
    <row r="478" spans="11:11" x14ac:dyDescent="0.25">
      <c r="K478" t="s">
        <v>520</v>
      </c>
    </row>
    <row r="479" spans="11:11" x14ac:dyDescent="0.25">
      <c r="K479" t="s">
        <v>521</v>
      </c>
    </row>
    <row r="480" spans="11:11" x14ac:dyDescent="0.25">
      <c r="K480" t="s">
        <v>522</v>
      </c>
    </row>
    <row r="481" spans="11:11" x14ac:dyDescent="0.25">
      <c r="K481" t="s">
        <v>523</v>
      </c>
    </row>
    <row r="482" spans="11:11" x14ac:dyDescent="0.25">
      <c r="K482" t="s">
        <v>524</v>
      </c>
    </row>
    <row r="483" spans="11:11" x14ac:dyDescent="0.25">
      <c r="K483" t="s">
        <v>525</v>
      </c>
    </row>
    <row r="484" spans="11:11" x14ac:dyDescent="0.25">
      <c r="K484" t="s">
        <v>526</v>
      </c>
    </row>
    <row r="485" spans="11:11" x14ac:dyDescent="0.25">
      <c r="K485" t="s">
        <v>527</v>
      </c>
    </row>
    <row r="486" spans="11:11" x14ac:dyDescent="0.25">
      <c r="K486" t="s">
        <v>528</v>
      </c>
    </row>
    <row r="487" spans="11:11" x14ac:dyDescent="0.25">
      <c r="K487" t="s">
        <v>529</v>
      </c>
    </row>
    <row r="488" spans="11:11" x14ac:dyDescent="0.25">
      <c r="K488" t="s">
        <v>530</v>
      </c>
    </row>
    <row r="489" spans="11:11" x14ac:dyDescent="0.25">
      <c r="K489" t="s">
        <v>531</v>
      </c>
    </row>
    <row r="490" spans="11:11" x14ac:dyDescent="0.25">
      <c r="K490" t="s">
        <v>532</v>
      </c>
    </row>
    <row r="491" spans="11:11" x14ac:dyDescent="0.25">
      <c r="K491" t="s">
        <v>533</v>
      </c>
    </row>
    <row r="492" spans="11:11" x14ac:dyDescent="0.25">
      <c r="K492" t="s">
        <v>534</v>
      </c>
    </row>
    <row r="493" spans="11:11" x14ac:dyDescent="0.25">
      <c r="K493" t="s">
        <v>535</v>
      </c>
    </row>
    <row r="494" spans="11:11" x14ac:dyDescent="0.25">
      <c r="K494" t="s">
        <v>536</v>
      </c>
    </row>
    <row r="495" spans="11:11" x14ac:dyDescent="0.25">
      <c r="K495" t="s">
        <v>537</v>
      </c>
    </row>
    <row r="496" spans="11:11" x14ac:dyDescent="0.25">
      <c r="K496" t="s">
        <v>538</v>
      </c>
    </row>
    <row r="497" spans="11:11" x14ac:dyDescent="0.25">
      <c r="K497" t="s">
        <v>539</v>
      </c>
    </row>
    <row r="498" spans="11:11" x14ac:dyDescent="0.25">
      <c r="K498" t="s">
        <v>540</v>
      </c>
    </row>
    <row r="499" spans="11:11" x14ac:dyDescent="0.25">
      <c r="K499" t="s">
        <v>541</v>
      </c>
    </row>
    <row r="500" spans="11:11" x14ac:dyDescent="0.25">
      <c r="K500" t="s">
        <v>542</v>
      </c>
    </row>
    <row r="501" spans="11:11" x14ac:dyDescent="0.25">
      <c r="K501" t="s">
        <v>543</v>
      </c>
    </row>
    <row r="502" spans="11:11" x14ac:dyDescent="0.25">
      <c r="K502" t="s">
        <v>544</v>
      </c>
    </row>
    <row r="503" spans="11:11" x14ac:dyDescent="0.25">
      <c r="K503" t="s">
        <v>545</v>
      </c>
    </row>
    <row r="504" spans="11:11" x14ac:dyDescent="0.25">
      <c r="K504" t="s">
        <v>546</v>
      </c>
    </row>
    <row r="505" spans="11:11" x14ac:dyDescent="0.25">
      <c r="K505" t="s">
        <v>547</v>
      </c>
    </row>
    <row r="506" spans="11:11" x14ac:dyDescent="0.25">
      <c r="K506" t="s">
        <v>548</v>
      </c>
    </row>
    <row r="507" spans="11:11" x14ac:dyDescent="0.25">
      <c r="K507" t="s">
        <v>549</v>
      </c>
    </row>
    <row r="508" spans="11:11" x14ac:dyDescent="0.25">
      <c r="K508" t="s">
        <v>550</v>
      </c>
    </row>
    <row r="509" spans="11:11" x14ac:dyDescent="0.25">
      <c r="K509" t="s">
        <v>551</v>
      </c>
    </row>
    <row r="510" spans="11:11" x14ac:dyDescent="0.25">
      <c r="K510" t="s">
        <v>552</v>
      </c>
    </row>
    <row r="511" spans="11:11" x14ac:dyDescent="0.25">
      <c r="K511" t="s">
        <v>553</v>
      </c>
    </row>
    <row r="512" spans="11:11" x14ac:dyDescent="0.25">
      <c r="K512" t="s">
        <v>554</v>
      </c>
    </row>
    <row r="513" spans="11:11" x14ac:dyDescent="0.25">
      <c r="K513" t="s">
        <v>555</v>
      </c>
    </row>
    <row r="514" spans="11:11" x14ac:dyDescent="0.25">
      <c r="K514" t="s">
        <v>556</v>
      </c>
    </row>
    <row r="515" spans="11:11" x14ac:dyDescent="0.25">
      <c r="K515" t="s">
        <v>557</v>
      </c>
    </row>
    <row r="516" spans="11:11" x14ac:dyDescent="0.25">
      <c r="K516" t="s">
        <v>558</v>
      </c>
    </row>
    <row r="517" spans="11:11" x14ac:dyDescent="0.25">
      <c r="K517" t="s">
        <v>559</v>
      </c>
    </row>
    <row r="518" spans="11:11" x14ac:dyDescent="0.25">
      <c r="K518" t="s">
        <v>560</v>
      </c>
    </row>
    <row r="519" spans="11:11" x14ac:dyDescent="0.25">
      <c r="K519" t="s">
        <v>561</v>
      </c>
    </row>
    <row r="520" spans="11:11" x14ac:dyDescent="0.25">
      <c r="K520" t="s">
        <v>562</v>
      </c>
    </row>
    <row r="521" spans="11:11" x14ac:dyDescent="0.25">
      <c r="K521" t="s">
        <v>563</v>
      </c>
    </row>
    <row r="522" spans="11:11" x14ac:dyDescent="0.25">
      <c r="K522" t="s">
        <v>564</v>
      </c>
    </row>
    <row r="523" spans="11:11" x14ac:dyDescent="0.25">
      <c r="K523" t="s">
        <v>565</v>
      </c>
    </row>
    <row r="524" spans="11:11" x14ac:dyDescent="0.25">
      <c r="K524" t="s">
        <v>566</v>
      </c>
    </row>
    <row r="525" spans="11:11" x14ac:dyDescent="0.25">
      <c r="K525" t="s">
        <v>567</v>
      </c>
    </row>
    <row r="526" spans="11:11" x14ac:dyDescent="0.25">
      <c r="K526" t="s">
        <v>568</v>
      </c>
    </row>
    <row r="527" spans="11:11" x14ac:dyDescent="0.25">
      <c r="K527" t="s">
        <v>569</v>
      </c>
    </row>
    <row r="528" spans="11:11" x14ac:dyDescent="0.25">
      <c r="K528" t="s">
        <v>570</v>
      </c>
    </row>
    <row r="529" spans="11:11" x14ac:dyDescent="0.25">
      <c r="K529" t="s">
        <v>571</v>
      </c>
    </row>
    <row r="530" spans="11:11" x14ac:dyDescent="0.25">
      <c r="K530" t="s">
        <v>572</v>
      </c>
    </row>
    <row r="531" spans="11:11" x14ac:dyDescent="0.25">
      <c r="K531" t="s">
        <v>573</v>
      </c>
    </row>
    <row r="532" spans="11:11" x14ac:dyDescent="0.25">
      <c r="K532" t="s">
        <v>574</v>
      </c>
    </row>
    <row r="533" spans="11:11" x14ac:dyDescent="0.25">
      <c r="K533" t="s">
        <v>575</v>
      </c>
    </row>
    <row r="534" spans="11:11" x14ac:dyDescent="0.25">
      <c r="K534" t="s">
        <v>576</v>
      </c>
    </row>
    <row r="535" spans="11:11" x14ac:dyDescent="0.25">
      <c r="K535" t="s">
        <v>577</v>
      </c>
    </row>
    <row r="536" spans="11:11" x14ac:dyDescent="0.25">
      <c r="K536" t="s">
        <v>578</v>
      </c>
    </row>
    <row r="537" spans="11:11" x14ac:dyDescent="0.25">
      <c r="K537" t="s">
        <v>579</v>
      </c>
    </row>
    <row r="538" spans="11:11" x14ac:dyDescent="0.25">
      <c r="K538" t="s">
        <v>580</v>
      </c>
    </row>
    <row r="539" spans="11:11" x14ac:dyDescent="0.25">
      <c r="K539" t="s">
        <v>581</v>
      </c>
    </row>
    <row r="540" spans="11:11" x14ac:dyDescent="0.25">
      <c r="K540" t="s">
        <v>582</v>
      </c>
    </row>
    <row r="541" spans="11:11" x14ac:dyDescent="0.25">
      <c r="K541" t="s">
        <v>583</v>
      </c>
    </row>
    <row r="542" spans="11:11" x14ac:dyDescent="0.25">
      <c r="K542" t="s">
        <v>584</v>
      </c>
    </row>
    <row r="543" spans="11:11" x14ac:dyDescent="0.25">
      <c r="K543" t="s">
        <v>585</v>
      </c>
    </row>
    <row r="544" spans="11:11" x14ac:dyDescent="0.25">
      <c r="K544" t="s">
        <v>586</v>
      </c>
    </row>
    <row r="545" spans="11:11" x14ac:dyDescent="0.25">
      <c r="K545" t="s">
        <v>587</v>
      </c>
    </row>
    <row r="546" spans="11:11" x14ac:dyDescent="0.25">
      <c r="K546" t="s">
        <v>588</v>
      </c>
    </row>
    <row r="547" spans="11:11" x14ac:dyDescent="0.25">
      <c r="K547" t="s">
        <v>589</v>
      </c>
    </row>
    <row r="548" spans="11:11" x14ac:dyDescent="0.25">
      <c r="K548" t="s">
        <v>590</v>
      </c>
    </row>
    <row r="549" spans="11:11" x14ac:dyDescent="0.25">
      <c r="K549" t="s">
        <v>591</v>
      </c>
    </row>
    <row r="550" spans="11:11" x14ac:dyDescent="0.25">
      <c r="K550" t="s">
        <v>592</v>
      </c>
    </row>
    <row r="551" spans="11:11" x14ac:dyDescent="0.25">
      <c r="K551" t="s">
        <v>593</v>
      </c>
    </row>
    <row r="552" spans="11:11" x14ac:dyDescent="0.25">
      <c r="K552" t="s">
        <v>594</v>
      </c>
    </row>
    <row r="553" spans="11:11" x14ac:dyDescent="0.25">
      <c r="K553" t="s">
        <v>595</v>
      </c>
    </row>
    <row r="554" spans="11:11" x14ac:dyDescent="0.25">
      <c r="K554" t="s">
        <v>596</v>
      </c>
    </row>
    <row r="555" spans="11:11" x14ac:dyDescent="0.25">
      <c r="K555" t="s">
        <v>597</v>
      </c>
    </row>
    <row r="556" spans="11:11" x14ac:dyDescent="0.25">
      <c r="K556" t="s">
        <v>598</v>
      </c>
    </row>
    <row r="557" spans="11:11" x14ac:dyDescent="0.25">
      <c r="K557" t="s">
        <v>599</v>
      </c>
    </row>
    <row r="558" spans="11:11" x14ac:dyDescent="0.25">
      <c r="K558" t="s">
        <v>600</v>
      </c>
    </row>
    <row r="559" spans="11:11" x14ac:dyDescent="0.25">
      <c r="K559" t="s">
        <v>601</v>
      </c>
    </row>
    <row r="560" spans="11:11" x14ac:dyDescent="0.25">
      <c r="K560" t="s">
        <v>602</v>
      </c>
    </row>
    <row r="561" spans="11:11" x14ac:dyDescent="0.25">
      <c r="K561" t="s">
        <v>603</v>
      </c>
    </row>
    <row r="562" spans="11:11" x14ac:dyDescent="0.25">
      <c r="K562" t="s">
        <v>604</v>
      </c>
    </row>
    <row r="563" spans="11:11" x14ac:dyDescent="0.25">
      <c r="K563" t="s">
        <v>605</v>
      </c>
    </row>
    <row r="564" spans="11:11" x14ac:dyDescent="0.25">
      <c r="K564" t="s">
        <v>606</v>
      </c>
    </row>
    <row r="565" spans="11:11" x14ac:dyDescent="0.25">
      <c r="K565" t="s">
        <v>607</v>
      </c>
    </row>
    <row r="566" spans="11:11" x14ac:dyDescent="0.25">
      <c r="K566" t="s">
        <v>608</v>
      </c>
    </row>
    <row r="567" spans="11:11" x14ac:dyDescent="0.25">
      <c r="K567" t="s">
        <v>609</v>
      </c>
    </row>
    <row r="568" spans="11:11" x14ac:dyDescent="0.25">
      <c r="K568" t="s">
        <v>610</v>
      </c>
    </row>
    <row r="569" spans="11:11" x14ac:dyDescent="0.25">
      <c r="K569" t="s">
        <v>611</v>
      </c>
    </row>
    <row r="570" spans="11:11" x14ac:dyDescent="0.25">
      <c r="K570" t="s">
        <v>612</v>
      </c>
    </row>
    <row r="571" spans="11:11" x14ac:dyDescent="0.25">
      <c r="K571" t="s">
        <v>613</v>
      </c>
    </row>
    <row r="572" spans="11:11" x14ac:dyDescent="0.25">
      <c r="K572" t="s">
        <v>614</v>
      </c>
    </row>
    <row r="573" spans="11:11" x14ac:dyDescent="0.25">
      <c r="K573" t="s">
        <v>615</v>
      </c>
    </row>
    <row r="574" spans="11:11" x14ac:dyDescent="0.25">
      <c r="K574" t="s">
        <v>616</v>
      </c>
    </row>
    <row r="575" spans="11:11" x14ac:dyDescent="0.25">
      <c r="K575" t="s">
        <v>617</v>
      </c>
    </row>
    <row r="576" spans="11:11" x14ac:dyDescent="0.25">
      <c r="K576" t="s">
        <v>618</v>
      </c>
    </row>
    <row r="577" spans="11:11" x14ac:dyDescent="0.25">
      <c r="K577" t="s">
        <v>619</v>
      </c>
    </row>
    <row r="578" spans="11:11" x14ac:dyDescent="0.25">
      <c r="K578" t="s">
        <v>620</v>
      </c>
    </row>
    <row r="579" spans="11:11" x14ac:dyDescent="0.25">
      <c r="K579" t="s">
        <v>621</v>
      </c>
    </row>
    <row r="580" spans="11:11" x14ac:dyDescent="0.25">
      <c r="K580" t="s">
        <v>622</v>
      </c>
    </row>
    <row r="581" spans="11:11" x14ac:dyDescent="0.25">
      <c r="K581" t="s">
        <v>623</v>
      </c>
    </row>
    <row r="582" spans="11:11" x14ac:dyDescent="0.25">
      <c r="K582" t="s">
        <v>624</v>
      </c>
    </row>
    <row r="583" spans="11:11" x14ac:dyDescent="0.25">
      <c r="K583" t="s">
        <v>625</v>
      </c>
    </row>
    <row r="584" spans="11:11" x14ac:dyDescent="0.25">
      <c r="K584" t="s">
        <v>626</v>
      </c>
    </row>
    <row r="585" spans="11:11" x14ac:dyDescent="0.25">
      <c r="K585" t="s">
        <v>627</v>
      </c>
    </row>
    <row r="586" spans="11:11" x14ac:dyDescent="0.25">
      <c r="K586" t="s">
        <v>628</v>
      </c>
    </row>
    <row r="587" spans="11:11" x14ac:dyDescent="0.25">
      <c r="K587" t="s">
        <v>629</v>
      </c>
    </row>
    <row r="588" spans="11:11" x14ac:dyDescent="0.25">
      <c r="K588" t="s">
        <v>630</v>
      </c>
    </row>
    <row r="589" spans="11:11" x14ac:dyDescent="0.25">
      <c r="K589" t="s">
        <v>631</v>
      </c>
    </row>
    <row r="590" spans="11:11" x14ac:dyDescent="0.25">
      <c r="K590" t="s">
        <v>632</v>
      </c>
    </row>
    <row r="591" spans="11:11" x14ac:dyDescent="0.25">
      <c r="K591" t="s">
        <v>633</v>
      </c>
    </row>
    <row r="592" spans="11:11" x14ac:dyDescent="0.25">
      <c r="K592" t="s">
        <v>634</v>
      </c>
    </row>
    <row r="593" spans="11:11" x14ac:dyDescent="0.25">
      <c r="K593" t="s">
        <v>635</v>
      </c>
    </row>
    <row r="594" spans="11:11" x14ac:dyDescent="0.25">
      <c r="K594" t="s">
        <v>636</v>
      </c>
    </row>
    <row r="595" spans="11:11" x14ac:dyDescent="0.25">
      <c r="K595" t="s">
        <v>637</v>
      </c>
    </row>
    <row r="596" spans="11:11" x14ac:dyDescent="0.25">
      <c r="K596" t="s">
        <v>638</v>
      </c>
    </row>
    <row r="597" spans="11:11" x14ac:dyDescent="0.25">
      <c r="K597" t="s">
        <v>639</v>
      </c>
    </row>
    <row r="598" spans="11:11" x14ac:dyDescent="0.25">
      <c r="K598" t="s">
        <v>640</v>
      </c>
    </row>
    <row r="599" spans="11:11" x14ac:dyDescent="0.25">
      <c r="K599" t="s">
        <v>641</v>
      </c>
    </row>
    <row r="600" spans="11:11" x14ac:dyDescent="0.25">
      <c r="K600" t="s">
        <v>642</v>
      </c>
    </row>
    <row r="601" spans="11:11" x14ac:dyDescent="0.25">
      <c r="K601" t="s">
        <v>643</v>
      </c>
    </row>
    <row r="602" spans="11:11" x14ac:dyDescent="0.25">
      <c r="K602" t="s">
        <v>644</v>
      </c>
    </row>
    <row r="603" spans="11:11" x14ac:dyDescent="0.25">
      <c r="K603" t="s">
        <v>645</v>
      </c>
    </row>
    <row r="604" spans="11:11" x14ac:dyDescent="0.25">
      <c r="K604" t="s">
        <v>646</v>
      </c>
    </row>
    <row r="605" spans="11:11" x14ac:dyDescent="0.25">
      <c r="K605" t="s">
        <v>647</v>
      </c>
    </row>
    <row r="606" spans="11:11" x14ac:dyDescent="0.25">
      <c r="K606" t="s">
        <v>648</v>
      </c>
    </row>
    <row r="607" spans="11:11" x14ac:dyDescent="0.25">
      <c r="K607" t="s">
        <v>649</v>
      </c>
    </row>
    <row r="608" spans="11:11" x14ac:dyDescent="0.25">
      <c r="K608" t="s">
        <v>650</v>
      </c>
    </row>
    <row r="609" spans="11:11" x14ac:dyDescent="0.25">
      <c r="K609" t="s">
        <v>651</v>
      </c>
    </row>
    <row r="610" spans="11:11" x14ac:dyDescent="0.25">
      <c r="K610" t="s">
        <v>652</v>
      </c>
    </row>
    <row r="611" spans="11:11" x14ac:dyDescent="0.25">
      <c r="K611" t="s">
        <v>653</v>
      </c>
    </row>
    <row r="612" spans="11:11" x14ac:dyDescent="0.25">
      <c r="K612" t="s">
        <v>654</v>
      </c>
    </row>
    <row r="613" spans="11:11" x14ac:dyDescent="0.25">
      <c r="K613" t="s">
        <v>655</v>
      </c>
    </row>
    <row r="614" spans="11:11" x14ac:dyDescent="0.25">
      <c r="K614" t="s">
        <v>656</v>
      </c>
    </row>
    <row r="615" spans="11:11" x14ac:dyDescent="0.25">
      <c r="K615" t="s">
        <v>657</v>
      </c>
    </row>
    <row r="616" spans="11:11" x14ac:dyDescent="0.25">
      <c r="K616" t="s">
        <v>658</v>
      </c>
    </row>
    <row r="617" spans="11:11" x14ac:dyDescent="0.25">
      <c r="K617" t="s">
        <v>659</v>
      </c>
    </row>
    <row r="618" spans="11:11" x14ac:dyDescent="0.25">
      <c r="K618" t="s">
        <v>660</v>
      </c>
    </row>
    <row r="619" spans="11:11" x14ac:dyDescent="0.25">
      <c r="K619" t="s">
        <v>661</v>
      </c>
    </row>
    <row r="620" spans="11:11" x14ac:dyDescent="0.25">
      <c r="K620" t="s">
        <v>662</v>
      </c>
    </row>
    <row r="621" spans="11:11" x14ac:dyDescent="0.25">
      <c r="K621" t="s">
        <v>663</v>
      </c>
    </row>
    <row r="622" spans="11:11" x14ac:dyDescent="0.25">
      <c r="K622" t="s">
        <v>664</v>
      </c>
    </row>
    <row r="623" spans="11:11" x14ac:dyDescent="0.25">
      <c r="K623" t="s">
        <v>665</v>
      </c>
    </row>
    <row r="624" spans="11:11" x14ac:dyDescent="0.25">
      <c r="K624" t="s">
        <v>666</v>
      </c>
    </row>
    <row r="625" spans="11:11" x14ac:dyDescent="0.25">
      <c r="K625" t="s">
        <v>667</v>
      </c>
    </row>
    <row r="626" spans="11:11" x14ac:dyDescent="0.25">
      <c r="K626" t="s">
        <v>668</v>
      </c>
    </row>
    <row r="627" spans="11:11" x14ac:dyDescent="0.25">
      <c r="K627" t="s">
        <v>669</v>
      </c>
    </row>
    <row r="628" spans="11:11" x14ac:dyDescent="0.25">
      <c r="K628" t="s">
        <v>670</v>
      </c>
    </row>
    <row r="629" spans="11:11" x14ac:dyDescent="0.25">
      <c r="K629" t="s">
        <v>671</v>
      </c>
    </row>
    <row r="630" spans="11:11" x14ac:dyDescent="0.25">
      <c r="K630" t="s">
        <v>672</v>
      </c>
    </row>
    <row r="631" spans="11:11" x14ac:dyDescent="0.25">
      <c r="K631" t="s">
        <v>673</v>
      </c>
    </row>
    <row r="632" spans="11:11" x14ac:dyDescent="0.25">
      <c r="K632" t="s">
        <v>674</v>
      </c>
    </row>
    <row r="633" spans="11:11" x14ac:dyDescent="0.25">
      <c r="K633" t="s">
        <v>675</v>
      </c>
    </row>
    <row r="634" spans="11:11" x14ac:dyDescent="0.25">
      <c r="K634" t="s">
        <v>676</v>
      </c>
    </row>
    <row r="635" spans="11:11" x14ac:dyDescent="0.25">
      <c r="K635" t="s">
        <v>677</v>
      </c>
    </row>
    <row r="636" spans="11:11" x14ac:dyDescent="0.25">
      <c r="K636" t="s">
        <v>678</v>
      </c>
    </row>
    <row r="637" spans="11:11" x14ac:dyDescent="0.25">
      <c r="K637" t="s">
        <v>679</v>
      </c>
    </row>
    <row r="638" spans="11:11" x14ac:dyDescent="0.25">
      <c r="K638" t="s">
        <v>680</v>
      </c>
    </row>
    <row r="639" spans="11:11" x14ac:dyDescent="0.25">
      <c r="K639" t="s">
        <v>681</v>
      </c>
    </row>
    <row r="640" spans="11:11" x14ac:dyDescent="0.25">
      <c r="K640" t="s">
        <v>682</v>
      </c>
    </row>
    <row r="641" spans="11:11" x14ac:dyDescent="0.25">
      <c r="K641" t="s">
        <v>683</v>
      </c>
    </row>
    <row r="642" spans="11:11" x14ac:dyDescent="0.25">
      <c r="K642" t="s">
        <v>684</v>
      </c>
    </row>
    <row r="643" spans="11:11" x14ac:dyDescent="0.25">
      <c r="K643" t="s">
        <v>685</v>
      </c>
    </row>
    <row r="644" spans="11:11" x14ac:dyDescent="0.25">
      <c r="K644" t="s">
        <v>686</v>
      </c>
    </row>
    <row r="645" spans="11:11" x14ac:dyDescent="0.25">
      <c r="K645" t="s">
        <v>687</v>
      </c>
    </row>
    <row r="646" spans="11:11" x14ac:dyDescent="0.25">
      <c r="K646" t="s">
        <v>688</v>
      </c>
    </row>
    <row r="647" spans="11:11" x14ac:dyDescent="0.25">
      <c r="K647" t="s">
        <v>689</v>
      </c>
    </row>
    <row r="648" spans="11:11" x14ac:dyDescent="0.25">
      <c r="K648" t="s">
        <v>690</v>
      </c>
    </row>
    <row r="649" spans="11:11" x14ac:dyDescent="0.25">
      <c r="K649" t="s">
        <v>691</v>
      </c>
    </row>
    <row r="650" spans="11:11" x14ac:dyDescent="0.25">
      <c r="K650" t="s">
        <v>692</v>
      </c>
    </row>
    <row r="651" spans="11:11" x14ac:dyDescent="0.25">
      <c r="K651" t="s">
        <v>693</v>
      </c>
    </row>
    <row r="652" spans="11:11" x14ac:dyDescent="0.25">
      <c r="K652" t="s">
        <v>694</v>
      </c>
    </row>
    <row r="653" spans="11:11" x14ac:dyDescent="0.25">
      <c r="K653" t="s">
        <v>695</v>
      </c>
    </row>
    <row r="654" spans="11:11" x14ac:dyDescent="0.25">
      <c r="K654" t="s">
        <v>696</v>
      </c>
    </row>
    <row r="655" spans="11:11" x14ac:dyDescent="0.25">
      <c r="K655" t="s">
        <v>697</v>
      </c>
    </row>
    <row r="656" spans="11:11" x14ac:dyDescent="0.25">
      <c r="K656" t="s">
        <v>698</v>
      </c>
    </row>
    <row r="657" spans="11:11" x14ac:dyDescent="0.25">
      <c r="K657" t="s">
        <v>699</v>
      </c>
    </row>
    <row r="658" spans="11:11" x14ac:dyDescent="0.25">
      <c r="K658" t="s">
        <v>700</v>
      </c>
    </row>
    <row r="659" spans="11:11" x14ac:dyDescent="0.25">
      <c r="K659" t="s">
        <v>701</v>
      </c>
    </row>
    <row r="660" spans="11:11" x14ac:dyDescent="0.25">
      <c r="K660" t="s">
        <v>702</v>
      </c>
    </row>
    <row r="661" spans="11:11" x14ac:dyDescent="0.25">
      <c r="K661" t="s">
        <v>703</v>
      </c>
    </row>
    <row r="662" spans="11:11" x14ac:dyDescent="0.25">
      <c r="K662" t="s">
        <v>704</v>
      </c>
    </row>
    <row r="663" spans="11:11" x14ac:dyDescent="0.25">
      <c r="K663" t="s">
        <v>705</v>
      </c>
    </row>
    <row r="664" spans="11:11" x14ac:dyDescent="0.25">
      <c r="K664" t="s">
        <v>706</v>
      </c>
    </row>
    <row r="665" spans="11:11" x14ac:dyDescent="0.25">
      <c r="K665" t="s">
        <v>707</v>
      </c>
    </row>
    <row r="666" spans="11:11" x14ac:dyDescent="0.25">
      <c r="K666" t="s">
        <v>708</v>
      </c>
    </row>
    <row r="667" spans="11:11" x14ac:dyDescent="0.25">
      <c r="K667" t="s">
        <v>709</v>
      </c>
    </row>
    <row r="668" spans="11:11" x14ac:dyDescent="0.25">
      <c r="K668" t="s">
        <v>710</v>
      </c>
    </row>
    <row r="669" spans="11:11" x14ac:dyDescent="0.25">
      <c r="K669" t="s">
        <v>711</v>
      </c>
    </row>
    <row r="670" spans="11:11" x14ac:dyDescent="0.25">
      <c r="K670" t="s">
        <v>712</v>
      </c>
    </row>
    <row r="671" spans="11:11" x14ac:dyDescent="0.25">
      <c r="K671" t="s">
        <v>713</v>
      </c>
    </row>
    <row r="672" spans="11:11" x14ac:dyDescent="0.25">
      <c r="K672" t="s">
        <v>714</v>
      </c>
    </row>
    <row r="673" spans="11:11" x14ac:dyDescent="0.25">
      <c r="K673" t="s">
        <v>715</v>
      </c>
    </row>
    <row r="674" spans="11:11" x14ac:dyDescent="0.25">
      <c r="K674" t="s">
        <v>716</v>
      </c>
    </row>
    <row r="675" spans="11:11" x14ac:dyDescent="0.25">
      <c r="K675" t="s">
        <v>717</v>
      </c>
    </row>
    <row r="676" spans="11:11" x14ac:dyDescent="0.25">
      <c r="K676" t="s">
        <v>718</v>
      </c>
    </row>
    <row r="677" spans="11:11" x14ac:dyDescent="0.25">
      <c r="K677" t="s">
        <v>719</v>
      </c>
    </row>
    <row r="678" spans="11:11" x14ac:dyDescent="0.25">
      <c r="K678" t="s">
        <v>720</v>
      </c>
    </row>
    <row r="679" spans="11:11" x14ac:dyDescent="0.25">
      <c r="K679" t="s">
        <v>721</v>
      </c>
    </row>
    <row r="680" spans="11:11" x14ac:dyDescent="0.25">
      <c r="K680" t="s">
        <v>722</v>
      </c>
    </row>
    <row r="681" spans="11:11" x14ac:dyDescent="0.25">
      <c r="K681" t="s">
        <v>723</v>
      </c>
    </row>
    <row r="682" spans="11:11" x14ac:dyDescent="0.25">
      <c r="K682" t="s">
        <v>724</v>
      </c>
    </row>
    <row r="683" spans="11:11" x14ac:dyDescent="0.25">
      <c r="K683" t="s">
        <v>725</v>
      </c>
    </row>
    <row r="684" spans="11:11" x14ac:dyDescent="0.25">
      <c r="K684" t="s">
        <v>726</v>
      </c>
    </row>
    <row r="685" spans="11:11" x14ac:dyDescent="0.25">
      <c r="K685" t="s">
        <v>727</v>
      </c>
    </row>
    <row r="686" spans="11:11" x14ac:dyDescent="0.25">
      <c r="K686" t="s">
        <v>728</v>
      </c>
    </row>
    <row r="687" spans="11:11" x14ac:dyDescent="0.25">
      <c r="K687" t="s">
        <v>729</v>
      </c>
    </row>
    <row r="688" spans="11:11" x14ac:dyDescent="0.25">
      <c r="K688" t="s">
        <v>730</v>
      </c>
    </row>
    <row r="689" spans="11:11" x14ac:dyDescent="0.25">
      <c r="K689" t="s">
        <v>731</v>
      </c>
    </row>
    <row r="690" spans="11:11" x14ac:dyDescent="0.25">
      <c r="K690" t="s">
        <v>732</v>
      </c>
    </row>
    <row r="691" spans="11:11" x14ac:dyDescent="0.25">
      <c r="K691" t="s">
        <v>733</v>
      </c>
    </row>
    <row r="692" spans="11:11" x14ac:dyDescent="0.25">
      <c r="K692" t="s">
        <v>734</v>
      </c>
    </row>
    <row r="693" spans="11:11" x14ac:dyDescent="0.25">
      <c r="K693" t="s">
        <v>735</v>
      </c>
    </row>
    <row r="694" spans="11:11" x14ac:dyDescent="0.25">
      <c r="K694" t="s">
        <v>736</v>
      </c>
    </row>
    <row r="695" spans="11:11" x14ac:dyDescent="0.25">
      <c r="K695" t="s">
        <v>737</v>
      </c>
    </row>
    <row r="696" spans="11:11" x14ac:dyDescent="0.25">
      <c r="K696" t="s">
        <v>738</v>
      </c>
    </row>
    <row r="697" spans="11:11" x14ac:dyDescent="0.25">
      <c r="K697" t="s">
        <v>739</v>
      </c>
    </row>
    <row r="698" spans="11:11" x14ac:dyDescent="0.25">
      <c r="K698" t="s">
        <v>740</v>
      </c>
    </row>
    <row r="699" spans="11:11" x14ac:dyDescent="0.25">
      <c r="K699" t="s">
        <v>741</v>
      </c>
    </row>
    <row r="700" spans="11:11" x14ac:dyDescent="0.25">
      <c r="K700" t="s">
        <v>742</v>
      </c>
    </row>
    <row r="701" spans="11:11" x14ac:dyDescent="0.25">
      <c r="K701" t="s">
        <v>743</v>
      </c>
    </row>
    <row r="702" spans="11:11" x14ac:dyDescent="0.25">
      <c r="K702" t="s">
        <v>744</v>
      </c>
    </row>
  </sheetData>
  <dataConsolidate/>
  <dataValidations disablePrompts="1" count="1">
    <dataValidation type="list" allowBlank="1" showInputMessage="1" showErrorMessage="1" sqref="AJ2" xr:uid="{F9954636-E176-4434-93B4-3A35FD75AA4F}">
      <formula1>$AI$2:$AI$114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1c504a0-d0f4-44d0-9002-b7f92b97017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22912DA881574593B707A8D95F6F9C" ma:contentTypeVersion="13" ma:contentTypeDescription="Create a new document." ma:contentTypeScope="" ma:versionID="14439a8ae62c86cf615914dfe2f6e8aa">
  <xsd:schema xmlns:xsd="http://www.w3.org/2001/XMLSchema" xmlns:xs="http://www.w3.org/2001/XMLSchema" xmlns:p="http://schemas.microsoft.com/office/2006/metadata/properties" xmlns:ns3="31c504a0-d0f4-44d0-9002-b7f92b97017c" xmlns:ns4="091e3c36-87e9-45f5-8950-6847ad553b09" targetNamespace="http://schemas.microsoft.com/office/2006/metadata/properties" ma:root="true" ma:fieldsID="9afbe9ce1262e69ba1d3400b89da706d" ns3:_="" ns4:_="">
    <xsd:import namespace="31c504a0-d0f4-44d0-9002-b7f92b97017c"/>
    <xsd:import namespace="091e3c36-87e9-45f5-8950-6847ad553b09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c504a0-d0f4-44d0-9002-b7f92b97017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1e3c36-87e9-45f5-8950-6847ad553b0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3C6DD5-B04F-4D36-AD9F-7FEF25CC45F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F7F8C0-C8B6-40B8-B4CA-AD5AC7BD747A}">
  <ds:schemaRefs>
    <ds:schemaRef ds:uri="http://schemas.microsoft.com/office/2006/metadata/properties"/>
    <ds:schemaRef ds:uri="http://schemas.microsoft.com/office/infopath/2007/PartnerControls"/>
    <ds:schemaRef ds:uri="31c504a0-d0f4-44d0-9002-b7f92b97017c"/>
  </ds:schemaRefs>
</ds:datastoreItem>
</file>

<file path=customXml/itemProps3.xml><?xml version="1.0" encoding="utf-8"?>
<ds:datastoreItem xmlns:ds="http://schemas.openxmlformats.org/officeDocument/2006/customXml" ds:itemID="{01E08A1A-60DC-47E7-B64B-A7F17D719C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c504a0-d0f4-44d0-9002-b7f92b97017c"/>
    <ds:schemaRef ds:uri="091e3c36-87e9-45f5-8950-6847ad553b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Khanh Nguyen</dc:creator>
  <cp:keywords/>
  <dc:description/>
  <cp:lastModifiedBy>Khanh Minh Nguyen</cp:lastModifiedBy>
  <cp:revision/>
  <dcterms:created xsi:type="dcterms:W3CDTF">2024-06-24T03:33:10Z</dcterms:created>
  <dcterms:modified xsi:type="dcterms:W3CDTF">2025-12-02T06:40:58Z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0x0101001F22912DA881574593B707A8D95F6F9C</vt:lpwstr>
  </property>
</Properties>
</file>